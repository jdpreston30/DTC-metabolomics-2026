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Metabolomics/DTC-metabolomics-2025/Outputs/Mummichog Outputs/"/>
    </mc:Choice>
  </mc:AlternateContent>
  <xr:revisionPtr revIDLastSave="121" documentId="8_{F7DDF023-177B-D747-AFBC-F9B761A98FD5}" xr6:coauthVersionLast="47" xr6:coauthVersionMax="47" xr10:uidLastSave="{8DB6BDC3-1203-DE4D-AEC8-9F9AD34782C5}"/>
  <bookViews>
    <workbookView xWindow="-38400" yWindow="22600" windowWidth="38400" windowHeight="21120" activeTab="2" xr2:uid="{C6B41103-796F-6E47-BFBD-4F4096F04FFA}"/>
  </bookViews>
  <sheets>
    <sheet name="cluster_MFN" sheetId="2" r:id="rId1"/>
    <sheet name="cluster_KEGG" sheetId="3" r:id="rId2"/>
    <sheet name="EnrichNet_KEGG" sheetId="1" r:id="rId3"/>
    <sheet name="EnrichNet_MFN" sheetId="4" r:id="rId4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4" l="1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</calcChain>
</file>

<file path=xl/sharedStrings.xml><?xml version="1.0" encoding="utf-8"?>
<sst xmlns="http://schemas.openxmlformats.org/spreadsheetml/2006/main" count="620" uniqueCount="475">
  <si>
    <t>Name</t>
  </si>
  <si>
    <t>Hits</t>
  </si>
  <si>
    <t>FET</t>
  </si>
  <si>
    <t>Gamma</t>
  </si>
  <si>
    <t>Beta-Alanine metabolism</t>
  </si>
  <si>
    <t>Glutamate metabolism</t>
  </si>
  <si>
    <t>Pyrimidine metabolism</t>
  </si>
  <si>
    <t>Butanoate metabolism</t>
  </si>
  <si>
    <t>Valine, leucine and isoleucine degradation</t>
  </si>
  <si>
    <t>Purine metabolism</t>
  </si>
  <si>
    <t>Histidine metabolism</t>
  </si>
  <si>
    <t>Pentose phosphate pathway</t>
  </si>
  <si>
    <t>Aspartate and asparagine metabolism</t>
  </si>
  <si>
    <t>Urea cycle/amino group metabolism</t>
  </si>
  <si>
    <t>De novo fatty acid biosynthesis</t>
  </si>
  <si>
    <t>Glycolysis and Gluconeogenesis</t>
  </si>
  <si>
    <t>Squalene and cholesterol biosynthesis</t>
  </si>
  <si>
    <t>Propanoate metabolism</t>
  </si>
  <si>
    <t>Glycerophospholipid metabolism</t>
  </si>
  <si>
    <t>Selenoamino acid metabolism</t>
  </si>
  <si>
    <t>Phosphatidylinositol phosphate metabolism</t>
  </si>
  <si>
    <t>Arginine and Proline Metabolism</t>
  </si>
  <si>
    <t>Lysine metabolism</t>
  </si>
  <si>
    <t>Glycine, serine, alanine and threonine metabolism</t>
  </si>
  <si>
    <t xml:space="preserve"> neg log p value</t>
  </si>
  <si>
    <t>Pathway total</t>
  </si>
  <si>
    <t>Hits.total</t>
  </si>
  <si>
    <t>Hits.sig</t>
  </si>
  <si>
    <t>Expected</t>
  </si>
  <si>
    <t>P(Fisher)</t>
  </si>
  <si>
    <t>P(EASE)</t>
  </si>
  <si>
    <t>P(Gamma)</t>
  </si>
  <si>
    <t>Emp.Hits</t>
  </si>
  <si>
    <t>Empirical</t>
  </si>
  <si>
    <t>AdjP.Fisher</t>
  </si>
  <si>
    <t>AdjP.EASE</t>
  </si>
  <si>
    <t>AdjP.Gamma</t>
  </si>
  <si>
    <t>Pathway Number</t>
  </si>
  <si>
    <t>cpd.hits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</si>
  <si>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</si>
  <si>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</si>
  <si>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</si>
  <si>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</si>
  <si>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</si>
  <si>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</si>
  <si>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</si>
  <si>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</si>
  <si>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</si>
  <si>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</si>
  <si>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</si>
  <si>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</si>
  <si>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</si>
  <si>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</si>
  <si>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</si>
  <si>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</si>
  <si>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</si>
  <si>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</si>
  <si>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</si>
  <si>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</si>
  <si>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Aminosugars metabolism</t>
  </si>
  <si>
    <t>P21</t>
  </si>
  <si>
    <t>Fructose and mannose metabolism</t>
  </si>
  <si>
    <t>P22</t>
  </si>
  <si>
    <t>Carnitine shuttle</t>
  </si>
  <si>
    <t>P23</t>
  </si>
  <si>
    <t>Nitrogen metabolism</t>
  </si>
  <si>
    <t>P24</t>
  </si>
  <si>
    <t>Carbon fixation</t>
  </si>
  <si>
    <t>P25</t>
  </si>
  <si>
    <t>Porphyrin metabolism</t>
  </si>
  <si>
    <t>P26</t>
  </si>
  <si>
    <t>Fatty acid activation</t>
  </si>
  <si>
    <t>P27</t>
  </si>
  <si>
    <t>Vitamin B3 (nicotinate and nicotinamide) metabolism</t>
  </si>
  <si>
    <t>P28</t>
  </si>
  <si>
    <t>Glycosphingolipid metabolism</t>
  </si>
  <si>
    <t>P29</t>
  </si>
  <si>
    <t>Fatty Acid Metabolism</t>
  </si>
  <si>
    <t>P30</t>
  </si>
  <si>
    <t>Omega-6 fatty acid metabolism</t>
  </si>
  <si>
    <t>P31</t>
  </si>
  <si>
    <t>Methionine and cysteine metabolism</t>
  </si>
  <si>
    <t>P32</t>
  </si>
  <si>
    <t>Saturated fatty acids beta-oxidation</t>
  </si>
  <si>
    <t>P33</t>
  </si>
  <si>
    <t>Keratan sulfate degradation</t>
  </si>
  <si>
    <t>P34</t>
  </si>
  <si>
    <t>Arachidonic acid metabolism</t>
  </si>
  <si>
    <t>P35</t>
  </si>
  <si>
    <t>Vitamin B12 (cyanocobalamin) metabolism</t>
  </si>
  <si>
    <t>P36</t>
  </si>
  <si>
    <t>Chondroitin sulfate degradation</t>
  </si>
  <si>
    <t>P37</t>
  </si>
  <si>
    <t>Heparan sulfate degradation</t>
  </si>
  <si>
    <t>P38</t>
  </si>
  <si>
    <t>Pentose and Glucuronate Interconversions</t>
  </si>
  <si>
    <t>P39</t>
  </si>
  <si>
    <t>N-Glycan Degradation</t>
  </si>
  <si>
    <t>P40</t>
  </si>
  <si>
    <t>Nucleotide Sugar Metabolism</t>
  </si>
  <si>
    <t>P41</t>
  </si>
  <si>
    <t>Vitamin B6 (pyridoxine) metabolism</t>
  </si>
  <si>
    <t>P42</t>
  </si>
  <si>
    <t>Hexose phosphorylation</t>
  </si>
  <si>
    <t>P43</t>
  </si>
  <si>
    <t>Glutathione Metabolism</t>
  </si>
  <si>
    <t>P44</t>
  </si>
  <si>
    <t>Alanine and Aspartate Metabolism</t>
  </si>
  <si>
    <t>P45</t>
  </si>
  <si>
    <t>Vitamin B5 - CoA biosynthesis from pantothenate</t>
  </si>
  <si>
    <t>P46</t>
  </si>
  <si>
    <t>Omega-3 fatty acid metabolism</t>
  </si>
  <si>
    <t>P47</t>
  </si>
  <si>
    <t>C5-Branched dibasic acid metabolism</t>
  </si>
  <si>
    <t>P48</t>
  </si>
  <si>
    <t>Glycosylphosphatidylinositol(GPI)-anchor biosynthesis</t>
  </si>
  <si>
    <t>P49</t>
  </si>
  <si>
    <t>Mono-unsaturated fatty acid beta-oxidation</t>
  </si>
  <si>
    <t>P50</t>
  </si>
  <si>
    <t>TCA cycle</t>
  </si>
  <si>
    <t>P51</t>
  </si>
  <si>
    <t>Vitamin B1 (thiamin) metabolism</t>
  </si>
  <si>
    <t>P52</t>
  </si>
  <si>
    <t>Sialic acid metabolism</t>
  </si>
  <si>
    <t>P53</t>
  </si>
  <si>
    <t>Fatty acid oxidation, peroxisome</t>
  </si>
  <si>
    <t>P54</t>
  </si>
  <si>
    <t>CoA Catabolism</t>
  </si>
  <si>
    <t>P55</t>
  </si>
  <si>
    <t>Phytanic acid peroxisomal oxidation</t>
  </si>
  <si>
    <t>P56</t>
  </si>
  <si>
    <t>Vitamin B9 (folate) metabolism</t>
  </si>
  <si>
    <t>P57</t>
  </si>
  <si>
    <t>R Group Synthesis</t>
  </si>
  <si>
    <t>P58</t>
  </si>
  <si>
    <t>Dimethyl-branched-chain fatty acid mitochondrial beta-oxidation</t>
  </si>
  <si>
    <t>P59</t>
  </si>
  <si>
    <t>Fatty acid oxidation</t>
  </si>
  <si>
    <t>P60</t>
  </si>
  <si>
    <t>Polyunsaturated fatty acid biosynthesis</t>
  </si>
  <si>
    <t>P61</t>
  </si>
  <si>
    <t>Ascorbate (Vitamin C) and Aldarate Metabolism</t>
  </si>
  <si>
    <t>P62</t>
  </si>
  <si>
    <t>Pyruvate Metabolism</t>
  </si>
  <si>
    <t>P63</t>
  </si>
  <si>
    <t>N-Glycan biosynthesis</t>
  </si>
  <si>
    <t>P64</t>
  </si>
  <si>
    <t>Androgen and estrogen biosynthesis and metabolism</t>
  </si>
  <si>
    <t>P65</t>
  </si>
  <si>
    <t>Bile acid biosynthesis</t>
  </si>
  <si>
    <t>P66</t>
  </si>
  <si>
    <t>Biopterin metabolism</t>
  </si>
  <si>
    <t>P67</t>
  </si>
  <si>
    <t>Drug metabolism - other enzymes</t>
  </si>
  <si>
    <t>P68</t>
  </si>
  <si>
    <t>Di-unsaturated fatty acid beta-oxidation</t>
  </si>
  <si>
    <t>P69</t>
  </si>
  <si>
    <t>Vitamin B2 (riboflavin) metabolism</t>
  </si>
  <si>
    <t>P70</t>
  </si>
  <si>
    <t>Vitamin H (biotin) metabolism</t>
  </si>
  <si>
    <t>P71</t>
  </si>
  <si>
    <t>Ubiquinone Biosynthesis</t>
  </si>
  <si>
    <t>P72</t>
  </si>
  <si>
    <t>Galactose metabolism</t>
  </si>
  <si>
    <t>P73</t>
  </si>
  <si>
    <t>Keratan sulfate biosynthesis</t>
  </si>
  <si>
    <t>P74</t>
  </si>
  <si>
    <t>Vitamin A (retinol) metabolism</t>
  </si>
  <si>
    <t>P75</t>
  </si>
  <si>
    <t>Prostaglandin formation from arachidonate</t>
  </si>
  <si>
    <t>P76</t>
  </si>
  <si>
    <t>Hyaluronan Metabolism</t>
  </si>
  <si>
    <t>P77</t>
  </si>
  <si>
    <t>Putative anti-Inflammatory metabolites formation from EPA</t>
  </si>
  <si>
    <t>P78</t>
  </si>
  <si>
    <t>Glyoxylate and Dicarboxylate Metabolism</t>
  </si>
  <si>
    <t>P79</t>
  </si>
  <si>
    <t>Vitamin D3 (cholecalciferol) metabolism</t>
  </si>
  <si>
    <t>P80</t>
  </si>
  <si>
    <t>Glycosphingolipid biosynthesis - globoseries</t>
  </si>
  <si>
    <t>P81</t>
  </si>
  <si>
    <t>Starch and Sucrose Metabolism</t>
  </si>
  <si>
    <t>P82</t>
  </si>
  <si>
    <t>Tyrosine metabolism</t>
  </si>
  <si>
    <t>P83</t>
  </si>
  <si>
    <t>C21-steroid hormone biosynthesis and metabolism</t>
  </si>
  <si>
    <t>P84</t>
  </si>
  <si>
    <t>Glycosphingolipid biosynthesis - ganglioseries</t>
  </si>
  <si>
    <t>P85</t>
  </si>
  <si>
    <t>Vitamin E metabolism</t>
  </si>
  <si>
    <t>P86</t>
  </si>
  <si>
    <t>O-Glycan biosynthesis</t>
  </si>
  <si>
    <t>P87</t>
  </si>
  <si>
    <t>Alkaloid biosynthesis II</t>
  </si>
  <si>
    <t>P88</t>
  </si>
  <si>
    <t>Leukotriene metabolism</t>
  </si>
  <si>
    <t>P89</t>
  </si>
  <si>
    <t>Electron transport chain</t>
  </si>
  <si>
    <t>P90</t>
  </si>
  <si>
    <t>Proteoglycan biosynthesis</t>
  </si>
  <si>
    <t>P91</t>
  </si>
  <si>
    <t>Glycosphingolipid biosynthesis - lactoseries</t>
  </si>
  <si>
    <t>P92</t>
  </si>
  <si>
    <t>Blood Group Biosynthesis</t>
  </si>
  <si>
    <t>P93</t>
  </si>
  <si>
    <t>Glycosphingolipid biosynthesis - neolactoseries</t>
  </si>
  <si>
    <t>P94</t>
  </si>
  <si>
    <t>Xenobiotics metabolism</t>
  </si>
  <si>
    <t>P95</t>
  </si>
  <si>
    <t>Linoleate metabolism</t>
  </si>
  <si>
    <t>P96</t>
  </si>
  <si>
    <t>D4&amp;E4-neuroprostanes formation</t>
  </si>
  <si>
    <t>P97</t>
  </si>
  <si>
    <t>Dynorphin metabolism</t>
  </si>
  <si>
    <t>P98</t>
  </si>
  <si>
    <t>Tryptophan metabolism</t>
  </si>
  <si>
    <t>P99</t>
  </si>
  <si>
    <t>Drug metabolism - cytochrome P450</t>
  </si>
  <si>
    <t>P100</t>
  </si>
  <si>
    <t>Lipoate metabolism</t>
  </si>
  <si>
    <t>P101</t>
  </si>
  <si>
    <t>Limonene and pinene degradation</t>
  </si>
  <si>
    <t>P102</t>
  </si>
  <si>
    <t>Caffeine metabolism</t>
  </si>
  <si>
    <t>P103</t>
  </si>
  <si>
    <t>EC0002105;EC0002098;EC0002099;EC0002100;EC0002102;EC0002065;EC0001823;EC0002104;EC0002049;EC0002068;EC0001056;EC0001057;EC0001014;EC0002045;EC0002091;EC0002083;EC0002106;EC0002107;EC0002108;EC0002081;EC000338;EC0002048;EC0002054;EC0002055;EC0002052;EC0002053;EC0002112;EC0002113;EC0002114;EC0002101;EC0002056;EC0002057;EC0002073;EC0002074</t>
  </si>
  <si>
    <t>EC00028;EC00029;EC00030;EC000160;EC00038;EC00027;EC000362;EC000363;EC000365;EC00067;EC00069;EC00039;EC00041;EC0001103;EC000214;EC000615;EC000616;EC000617;EC000128;EC000129;EC000130;EC000131;EC000133</t>
  </si>
  <si>
    <t>EC000396;EC000397;EC00028;EC00029;EC00022;EC00024;EC000390;EC000392;EC00053;EC000179;EC000180;EC0001185;EC0001186;EC0001140;EC000247;EC000248;EC000250;EC000153;EC000552;EC0001184;EC000842;EC000843;EC000542;EC000545;EC000165;EC000856;EC000154;EC000913;EC000914;EC000915;EC000316;EC000317;EC000318;EC0001067;EC000874;EC000147;EC00080;EC000163;EC0001472;EC000918;EC0001199;EC0001211;EC000272;EC000273;EC000142;EC000144;EC000298;EC000299;EC000415;EC000313;EC000623;EC000611;EC00067;EC00069;EC000408;EC000410;EC000411;EC00027;EC00046;EC0001136;EC00076</t>
  </si>
  <si>
    <t>EC00028;EC00029;EC000638;EC000413;EC000414;EC000362;EC000363;EC000365;EC00038;EC000167;EC000169;EC00030;EC000337;EC000230;EC00046;EC00027</t>
  </si>
  <si>
    <t>EC00028;EC00029;EC00030;EC00022;EC00024;EC000187;EC000457;EC000581;EC000453;EC000455;EC000128;EC000129;EC000130;EC000131;EC000133;EC0001395;EC00018;EC000194;EC000195;EC000822;EC0001077;EC000930;EC000928;EC000931;EC0001770;EC0001772;EC0001124;EC0001125;EC000337;EC000115;EC000117;EC00085;EC00086;EC0001006;EC000362;EC000363;EC000365;EC00046;EC0001422;EC000214;EC000432;EC000433;EC00063;EC00067;EC00069;EC0001179;EC000863;EC000615;EC000616;EC000617;EC000736;EC000738;EC000769;EC000770;EC000638;EC0001088;EC0001090;EC000160;EC000348;EC0001952;EC000761;EC000778;EC000779;EC00036;EC0001774;EC000166;EC00044</t>
  </si>
  <si>
    <t>EC000369;EC000570;EC0007;EC0008;EC000232;EC000775;EC0001228;EC0001225;EC000440;EC000441;EC000443;EC0001092;EC000789;EC0001170;EC00018;EC000763;EC000128;EC000129;EC000130;EC000131;EC000133</t>
  </si>
  <si>
    <t>EC00074;EC000191;EC00036;EC000689;EC000381;EC00098;EC00099;EC000100;EC00027;EC000554;EC00022;EC00024;EC000267;EC000268;EC000136;EC00033;EC00080;EC000238;EC000240;EC000786;EC000787;EC000260;EC000261;EC000280;EC000281;EC000230;EC0001442;EC0001443;EC0001444;EC000214</t>
  </si>
  <si>
    <t>EC00028;EC00029;EC00030;EC00022;EC00024;EC00027;EC00074;EC000128;EC000129;EC000130;EC000131;EC000133;EC0001311;EC0001465;EC0001467;EC0001064;EC0001065;EC000736;EC000738;EC0001445;EC00018;EC000362;EC000363;EC000365;EC0001037;EC000276;EC00039;EC00041;EC000689</t>
  </si>
  <si>
    <t>EC000928;EC000930;EC000931;EC00028;EC00029;EC000160;EC000863;EC0001124;EC0001125;EC00038;EC0001696;EC000615;EC000616;EC000617;EC000115;EC000117</t>
  </si>
  <si>
    <t>EC000122;EC000123;EC000920;EC00027;EC00066;EC00031;EC000394;EC000773;EC00067;EC00069;EC00022;EC00024;EC000424;EC00028;EC00029;EC00054;EC00056;EC000692;EC000693;EC000694;EC000459;EC00053;EC000362;EC000363;EC000365;EC00038;EC000628;EC000128;EC000129;EC000130;EC000131;EC000133;EC000859;EC000251;EC000254;EC000686;EC000687;EC000322;EC00017;EC000147;EC00084;EC00080;EC000324;EC000325;EC000165;EC000491;EC000492;EC000493;EC000142;EC000144;EC000450;EC000451;EC000313;EC000214;EC000405;EC000406;EC000623;EC00098;EC00099;EC000100;EC000194;EC000195;EC00046;EC000485</t>
  </si>
  <si>
    <t>EC00028;EC00029;EC00074;EC00030;EC00022;EC00024;EC000128;EC000129;EC000130;EC000131;EC000133;EC000173;EC000158;EC000159;EC00018;EC00039;EC00041;EC000736;EC000262;EC000264;EC000738;EC0001916;EC0001917;EC000280;EC000281;EC000362;EC000363;EC000365</t>
  </si>
  <si>
    <t>EC00022;EC00024;EC0001375;EC00070;EC00071;EC00073;EC000128;EC000129;EC000130;EC000131;EC000133;EC000587;EC000247;EC000248;EC000250;EC0001376;EC0001378;EC0001380;EC000300;EC00038</t>
  </si>
  <si>
    <t>EC00028;EC00029;EC000187;EC000882;EC000883;EC00026;EC000655;EC000656;EC00063;EC000348;EC0001103;EC0001165;EC0001168;EC0001169;EC000638;EC000457;EC000496;EC000585;EC000337;EC00079;EC000326;EC000327;EC000328;EC000221;EC0001081;EC0001083;EC0001084;EC00038;EC00018;EC000166;EC000154;EC000362;EC000363;EC000365;EC000989;EC000542;EC000545;EC00030;EC000272;EC000273;EC000453;EC000455;EC000867;EC0001077;EC000831;EC000832;EC000651;EC000652;EC000335;EC00046;EC00085;EC00086;EC000214;EC000432;EC000433</t>
  </si>
  <si>
    <t>EC00022;EC00024;EC000128;EC000129;EC000130;EC000131;EC000133;EC00036;EC0001440;EC000736;EC000738;EC00018;EC000230;EC00027</t>
  </si>
  <si>
    <t>EC0001107;EC0001285;EC0001750;EC0001274;EC0001276;EC0001277;EC0001278;EC0001196;EC0001198;EC000934;EC0001283;EC0001142;EC00022;EC00024;EC00018;EC0001282;EC000900;EC000875;EC000878;EC000879;EC000625;EC0001736;EC0001738;EC000274;EC0001739;EC0001741;EC0001004;EC0001012;EC000232</t>
  </si>
  <si>
    <t>EC000757;EC000760;EC000453;EC000455;EC000237;EC00017;EC00018;EC00076;EC0001382;EC000701;EC000705;EC000767;EC000768;EC000512;EC000438;EC000497</t>
  </si>
  <si>
    <t>EC00026;EC0001153;EC0001266;EC000812;EC000813;EC000804;EC000805;EC0001068;EC0001205;EC00027;EC0001200;EC0001201;EC0001203;EC0001183;EC0001159;EC000297;EC000339;EC000340;EC000109;EC000110;EC0001038;EC0001490;EC0001491;EC000619;EC000559;EC000373;EC000374;EC000375;EC00066;EC00070;EC00071;EC00073;EC00033;EC000230;EC000548;EC000819;EC000136;EC00098;EC00099;EC000100;EC000673;EC000232;EC000886;EC000887;EC00054;EC00056;EC0001651;EC000255;EC000256;EC000257</t>
  </si>
  <si>
    <t>EC00028;EC00029;EC00030;EC00026;EC00022;EC00024;EC00027;EC000362;EC000363;EC000365;EC00063;EC00018;EC0001782;EC000230;EC000297;EC000740;EC000741;EC000742;EC0001904;EC0001905;EC000326;EC000327;EC000328;EC00079;EC000453;EC000455;EC00085;EC00086;EC000280;EC000281;EC0001447;EC0001450;EC00070;EC00071;EC00073;EC000128;EC000129;EC000130;EC000131;EC000133;EC000863;EC000554;EC000733;EC000735;EC000233;EC000234;EC000964;EC000238;EC000240;EC000975;EC00038</t>
  </si>
  <si>
    <t>EC00028;EC00029;EC00030;EC00026;EC00022;EC00024;EC00027;EC000405;EC000802;EC000128;EC000129;EC000130;EC000131;EC000133;EC000258;EC000259;EC000115;EC000117;EC000537;EC000539;EC000501;EC000502;EC000503;EC00079;EC000274;EC000964;EC00070;EC00071;EC00073;EC000515;EC000160;EC000940;EC000525;EC00053;EC0001029;EC0001030;EC000247;EC000248;EC000250;EC00058;EC000575;EC000576;EC0001408;EC0001409;EC0001304</t>
  </si>
  <si>
    <t>EC00028;EC00029;EC00022;EC00024;EC0001617;EC000726;EC000727;EC000447;EC000598;EC000599;EC0001200;EC0001201;EC0001203;EC00018;EC0001827;EC0001826;EC0001490;EC0001491;EC0001786;EC0001787;EC000695;EC000697;EC000698;EC0001428;EC000160;EC0002077;EC000255;EC000256;EC000257</t>
  </si>
  <si>
    <t>EC00022;EC00024;EC0002067;EC000630;EC000629;EC0001014;EC00018;EC0001823;EC0001490;EC0001491;EC0001488;EC0001489;EC0001485;EC000276;EC000282;EC000283;EC000886;EC000887;EC000870;EC000872;EC0001072</t>
  </si>
  <si>
    <t>EC00033;EC000850;EC000852;EC00017;EC000812;EC000813;EC0001156;EC0001158;EC000381;EC0002096;EC00054;EC00056;EC000827;EC00098;EC00099;EC000100;EC000237;EC000103;EC000282;EC000283;EC0001655;EC0001657;EC0002085</t>
  </si>
  <si>
    <t>EC00028;EC00029;EC000194;EC000195;EC00067;EC00069;EC00046</t>
  </si>
  <si>
    <t>EC00028;EC00029;EC00030;EC00022;EC00024;EC00027;EC00063;EC000154;EC00067;EC00069;EC000757;EC000760;EC00038;EC0001081;EC0001083;EC0001084;EC00036;EC000194;EC000195;EC000348;EC00046</t>
  </si>
  <si>
    <t>EC000559;EC00033;EC000373;EC000374;EC000375;EC000161;EC00031;EC000346;EC000282;EC000283;EC000339;EC000340;EC000519;EC000306;EC00053;EC00054;EC00056;EC00017;EC00018;EC00070;EC00071;EC00073;EC000170;EC000673;EC0001583;EC000917;EC00058</t>
  </si>
  <si>
    <t>EC0001643;EC000400;EC000401;EC0001912;EC000643;EC000946;EC000947;EC0001889;EC0001734;EC0001735;EC000489;EC00022;EC00024;EC00017;EC0001552;EC0001200;EC0001201;EC0001203;EC0001970</t>
  </si>
  <si>
    <t>EC00033;EC000170;EC000306;EC00058;EC0002084;EC00017;EC000744;EC000746</t>
  </si>
  <si>
    <t>EC000346;EC000381;EC000230;EC00098;EC00099;EC000100;EC000744;EC000746;EC00033;EC000136;EC000819;EC000660;EC0001862;EC0001054;EC0001055;EC0001855;EC0001857;EC0001858;EC0001859;EC0001860</t>
  </si>
  <si>
    <t>EC00028;EC00029;EC00030;EC00026;EC00022;EC00024;EC0001116;EC0001117;EC0001234;EC000461;EC000647;EC000649;EC000650;EC00038;EC0001392;EC0001394;EC000167;EC000169;EC0001387;EC0001390;EC0001800;EC0001237;EC000419;EC000420;EC00027;EC000413;EC000414</t>
  </si>
  <si>
    <t>EC00028;EC00029;EC00030;EC00026;EC00022;EC00024;EC000483;EC0001308;EC0001309;EC0001305;EC0001307;EC00018;EC000554;EC000338;EC00044;EC000804;EC000805;EC000721;EC000432;EC000433;EC000280;EC000281;EC000478;EC000480;EC00039;EC00041;EC000811;EC0001134;EC0001135</t>
  </si>
  <si>
    <t>EC00022;EC00024;EC000870;EC000872;EC000629;EC000630;EC0001014;EC0001490;EC0001491;EC0001488;EC0001489;EC000282;EC000283;EC0001493;EC0001494;EC000946;EC000947;EC0001023;EC0001024;EC0001072;EC00053;EC000255;EC000256;EC000257;EC000886;EC000887</t>
  </si>
  <si>
    <t>EC00022;EC00024;EC0001989;EC0001990;EC0001914;EC0001826;EC0001506;EC0001956;EC0001569;EC0001570;EC0001913;EC000995;EC000572;EC0001987;EC0001964;EC0001767</t>
  </si>
  <si>
    <t>EC000153;EC000311;EC000312;EC000370;EC000372;EC000920;EC000142;EC000144;EC00022;EC00024;EC000950;EC000143;EC000295;EC000241;EC00098;EC00099;EC000100;EC000378;EC000379;EC000380;EC000136;EC000147;EC000309;EC000474;EC000819;EC00033;EC000623</t>
  </si>
  <si>
    <t>EC00028;EC00029;EC000187;EC00030;EC00027;EC00063;EC000348;EC0001103;EC00036;EC000778;EC000779;EC00079;EC000221;EC0001081;EC0001083;EC0001084;EC000154;EC00018;EC000166;EC000928;EC000930;EC000931;EC000453;EC000455;EC00039;EC00041;EC00067;EC00069;EC00046;EC000432;EC000433</t>
  </si>
  <si>
    <t>EC00028;EC00029;EC000354;EC000357;EC00027;EC000161;EC000170;EC00067;EC00069;EC00098;EC00099;EC000100;EC000389;EC000388;EC000306;EC00054;EC00056;EC00066;EC00017;EC000378;EC000379;EC000380;EC00080;EC00084;EC0001442;EC0001443;EC0001444;EC000580</t>
  </si>
  <si>
    <t>EC00036;EC00098;EC00099;EC000100;EC000136;EC000309;EC00027;EC000381;EC00080;EC000142;EC000143;EC000144;EC00046</t>
  </si>
  <si>
    <t>EC00017;EC000161;EC000346;EC00054;EC00056;EC00031</t>
  </si>
  <si>
    <t>EC000161;EC000346;EC00054;EC00056;EC00017;EC00031</t>
  </si>
  <si>
    <t>EC000161;EC00054;EC00056;EC00017;EC00053;EC00031</t>
  </si>
  <si>
    <t>EC00033;EC000237;EC00058;EC000170;EC000153</t>
  </si>
  <si>
    <t>EC00017;EC000161;EC00054;EC00056;EC00031</t>
  </si>
  <si>
    <t>EC00053;EC00031;EC00017;EC000593;EC000236</t>
  </si>
  <si>
    <t>EC0002067;EC000338;EC0001014;EC0001023;EC0001024;EC0001488;EC0001489;EC000282;EC000283;EC000886;EC000887;EC000870;EC000872;EC000232;EC0002061;EC0002063;EC0002064</t>
  </si>
  <si>
    <t>EC000875;EC000878;EC000879;EC000900;EC000570;EC0001739;EC0001741;EC0001736;EC0001738</t>
  </si>
  <si>
    <t>EC00022;EC00024;EC0002014;EC0001754;EC000726;EC000727;EC0001789;EC0001786;EC0001787;EC0001826;EC000255;EC000256;EC000257;EC00029;EC00028;EC0001921;EC000447;EC0002005;EC000695;EC000697;EC000698;EC000960;EC0001943;EC0001428;EC0001947;EC0002017;EC0002018;EC0002020;EC0002015;EC0002016</t>
  </si>
  <si>
    <t>EC00028;EC00029;EC00026;EC00022;EC00024;EC00063;EC00067;EC00069;EC000288;EC000290;EC0001068;EC000806;EC000807;EC0001403;EC0001405;EC000198;EC000199;EC000147;EC000681;EC000142;EC000144;EC00046;EC0001074</t>
  </si>
  <si>
    <t>EC00017;EC00054;EC00056;EC00031;EC000346;EC000161;EC00033;EC000170</t>
  </si>
  <si>
    <t>EC0001107;EC0001292;EC0001294;EC000536;EC0001289;EC00017;EC000714;EC000715;EC0001276;EC0001277;EC0001278;EC000636;EC000637;EC000528;EC000529;EC000641;EC0001290;EC000497;EC00011;EC0001274;EC0001282;EC0001180;EC0001181;EC0002097;EC000232;EC00053;EC000938;EC00058</t>
  </si>
  <si>
    <t>EC000170;EC00033;EC000237;EC00058;EC000153</t>
  </si>
  <si>
    <t>EC000284;EC000286;EC000287;EC000533;EC000335;EC000587;EC000676</t>
  </si>
  <si>
    <t>EC00033;EC000580;EC000170;EC000306;EC0002084;EC000744;EC000746</t>
  </si>
  <si>
    <t>EC0001442;EC0001443;EC0001444;EC000170;EC0001266;EC0001038;EC00033;EC000631;EC0001464;EC000388;EC000389;EC00080;EC00098;EC00099;EC000100;EC000103;EC00070;EC00071;EC00073;EC000306;EC000241;EC0001259;EC000161;EC00054;EC00056</t>
  </si>
  <si>
    <t>EC00098;EC00099;EC000100;EC000674;EC000236</t>
  </si>
  <si>
    <t>EC0001056;EC0001057;EC000338;EC0001014;EC00018;EC000282;EC000283</t>
  </si>
  <si>
    <t>EC00022;EC00024;EC00074;EC00027;EC0001060;EC00030;EC000786;EC000787</t>
  </si>
  <si>
    <t>EC00017;EC000153;EC000237;EC000142;EC000144;EC000295;EC000143;EC0001257</t>
  </si>
  <si>
    <t>EC00018;EC0001014</t>
  </si>
  <si>
    <t>EC000136;EC000238;EC000240;EC000297;EC000153;EC000733;EC000735</t>
  </si>
  <si>
    <t>EC00030;EC00022;EC00024;EC00039;EC00041</t>
  </si>
  <si>
    <t>EC00027;EC000498;EC000500</t>
  </si>
  <si>
    <t>EC00098;EC00099;EC000100</t>
  </si>
  <si>
    <t>EC000160;EC000295;EC000241;EC000995;EC000572;EC000237;EC000956;EC000958;EC000942;EC0001271;EC00076;EC000207;EC000661;EC000438;EC000898;EC000943</t>
  </si>
  <si>
    <t>EC00028;EC00029;EC0001786;EC0001787;EC0001826;EC0001189;EC0002036;EC0002033;EC0002034</t>
  </si>
  <si>
    <t>EC00026;EC0001249;EC000536;EC000528;EC000529;EC00017;EC000714;EC000715;EC000938;EC0001924;EC0001554;EC0001555;EC00011;EC00053;EC00058;EC0001180;EC0001181</t>
  </si>
  <si>
    <t>EC00022;EC00024;EC00066;EC0001096;EC0001101;EC000683;EC000669;EC000670;EC000115;EC000117</t>
  </si>
  <si>
    <t>EC00033;EC000354;EC000357;EC00099;EC000100;EC00098;EC000165;EC000103;EC000660;EC000772;EC000378;EC000379;EC000380</t>
  </si>
  <si>
    <t>EC00022;EC00024;EC000669;EC000670;EC000683</t>
  </si>
  <si>
    <t>EC00033;EC000161;EC00053;EC00054;EC00056;EC00031;EC00017;EC000346;EC000170;EC000593;EC0001464</t>
  </si>
  <si>
    <t>EC00074;EC000154;EC000191;EC00030;EC0001251;EC000424;EC00018;EC000554;EC000207;EC00036;EC00080;EC000280;EC000281;EC00039;EC00041;EC000438</t>
  </si>
  <si>
    <t>EC00018;EC00022;EC00024</t>
  </si>
  <si>
    <t>EC0001895;EC0001877;EC0001878</t>
  </si>
  <si>
    <t>EC00030;EC00039;EC00041</t>
  </si>
  <si>
    <t>EC000161;EC00066;EC000346;EC00054;EC00056;EC00031;EC00033;EC00017;EC00098;EC00099;EC000100</t>
  </si>
  <si>
    <t>EC0001698;EC0001499;EC0001222;EC0001223;EC0001526;EC0001506;EC0001528;EC0001712;EC0001345;EC0001346;EC0001707;EC000868;EC0001527;EC0001693;EC0001694;EC0001692;EC0001521;EC0001687;EC0001733;EC0001504;EC0001703</t>
  </si>
  <si>
    <t>EC000191;EC000230;EC00027;EC00036;EC000136</t>
  </si>
  <si>
    <t>EC00022;EC00024;EC0001823;EC00018;EC000886;EC000887</t>
  </si>
  <si>
    <t>EC000438;EC000447;EC0001431;EC000726;EC000727;EC0001754;EC0001599;EC0001908;EC0001826;EC0001438;EC000598;EC000599;EC000255;EC000256;EC000257;EC00022;EC00024;EC0001434;EC00076;EC0001573;EC0001947;EC0001967</t>
  </si>
  <si>
    <t>EC00026</t>
  </si>
  <si>
    <t>EC0001848;EC0001419;EC0001417;EC0001221;EC0001068;EC00090;EC00091;EC000302;EC00093;EC00094</t>
  </si>
  <si>
    <t>EC00028;EC00029;EC00070;EC00071;EC00073;EC0001140;EC000757;EC000760;EC00018;EC000472</t>
  </si>
  <si>
    <t>EC0001014;EC00018;EC0001823;EC000424</t>
  </si>
  <si>
    <t>EC00022;EC00024;EC00018;EC000293;EC00062</t>
  </si>
  <si>
    <t>EC00017;EC000170;EC000237</t>
  </si>
  <si>
    <t>EC0001411;EC0001412;EC00053;EC000667;EC00017;EC0009;EC0001015;EC0001016;EC0001625;EC0001488;EC0001489;EC000282;EC000283;EC0001607;EC0001574;EC000597;EC0001628;EC0001627;EC0001023;EC0001024;EC0001631;EC0001638;EC0001639;EC0001477;EC000839</t>
  </si>
  <si>
    <t>EC00018</t>
  </si>
  <si>
    <t>EC000160;EC0001794;EC0001153;EC0002031;EC0002024;EC0001776;EC0001831;EC0001833;EC0001194;EC0001535;EC0002003;EC00017;EC0001835;EC00076;EC0001614;EC0001615;EC0001609;EC0001610;EC0001612;EC0001209;EC0001490;EC0001491;EC000886;EC000887;EC000890</t>
  </si>
  <si>
    <t>EC0001259;EC00033;EC00098;EC00099;EC000100;EC000170;EC00031;EC000103;EC0001266;EC000819;EC000230;EC000241;EC0001260;EC000381;EC00066;EC000660;EC000136;EC00017;EC000631;EC00084;EC000580</t>
  </si>
  <si>
    <t>EC00022;EC00024;EC0001665;EC0001666;EC0001209;EC0001490;EC0001491</t>
  </si>
  <si>
    <t>EC0001728;EC0001729;EC0001722;EC0001524;EC0001525;EC0001721;EC0001576;EC0001500;EC0001501</t>
  </si>
  <si>
    <t>EC00022;EC00024;EC000861;EC0001588;EC0001590</t>
  </si>
  <si>
    <t>EC000554;EC0001805;EC00044</t>
  </si>
  <si>
    <t>EC0002026;EC00076;EC000438</t>
  </si>
  <si>
    <t>EC000870;EC000872</t>
  </si>
  <si>
    <t>EC00098;EC00099;EC000100;EC00031;EC000103;EC000639;EC00017;EC00033;EC000631</t>
  </si>
  <si>
    <t>EC00044;EC00022;EC00024</t>
  </si>
  <si>
    <t>EC00030;EC00026;EC00022;EC00024;EC0001953;EC0001762;EC0001765;EC000923;EC0001775;EC000651;EC000652;EC00028;EC00029;EC00027;EC00017;EC000605;EC000438;EC0001127;EC000753;EC000754;EC0001145;EC00058;EC000335;EC0001538;EC0001539;EC0002022;EC0001319;EC0001046;EC000115;EC000117;EC00090;EC00091;EC00076;EC0001474;EC00093;EC00094;EC000989;EC000496;EC0001874;EC0001871;EC0001875;EC00067;EC00069;EC000860;EC0001316;EC0001333;EC000383;EC000386;EC000302;EC0001545;EC0001596;EC000559;EC000154;EC000160;EC000882;EC000883;EC000964;EC0001323;EC0001324;EC0001327;EC0001330;EC00053;EC000572;EC0001866;EC0001341;EC0001756;EC000128;EC000129;EC000130;EC000131;EC000133;EC00038;EC0001811;EC0001814;EC0001703</t>
  </si>
  <si>
    <t>EC00022;EC00024;EC000255;EC000256;EC000257</t>
  </si>
  <si>
    <t>EC000730;EC0002094</t>
  </si>
  <si>
    <t>EC000424</t>
  </si>
  <si>
    <t>EC000424;EC00026;EC00022;EC00024;EC000202</t>
  </si>
  <si>
    <t>EC00028;EC00029;EC00030;EC00026;EC00022;EC00024;EC0001355;EC000350;EC0001356;EC0001752;EC0001354;EC000646;EC0001360;EC00018;EC000987;EC0001368;EC0001369;EC0001371;EC000607;EC00087;EC00088;EC0001145;EC0001998;EC000839;EC000126;EC000127;EC0001762;EC0001765;EC0001481;EC0001883;EC0001808;EC000908;EC0002019;EC000302;EC0001802;EC00033;EC0001137;EC0001138;EC0001139;EC0001345;EC0001346;EC000718;EC000288;EC000290;EC000597;EC000889;EC00038</t>
  </si>
  <si>
    <t>Prostaglandin formation from dihomo gama-linoleic acid</t>
  </si>
  <si>
    <t>EC000598;EC000599</t>
  </si>
  <si>
    <t>P104</t>
  </si>
  <si>
    <t>EC00033;EC0001678</t>
  </si>
  <si>
    <t>3-oxo-10R-octadecatrienoate beta-oxidation</t>
  </si>
  <si>
    <t>P105</t>
  </si>
  <si>
    <t>EC0001927</t>
  </si>
  <si>
    <t>EC000636;EC000638;EC000113;EC000114;EC000115;EC000116;EC000118;EC000322;EC000323;EC000325;EC00019;EC00020;EC000249;EC00021;EC00030;EC00032;EC000771;EC000772</t>
  </si>
  <si>
    <t>D-Amino acid metabolism</t>
  </si>
  <si>
    <t>EC00057;EC00059;EC00019;EC00020;EC00037;EC00060;EC00061;EC00063;EC00053;EC00073;EC00074;EC000169;EC000397;EC000399;EC000739;EC000740;EC000741;EC000742;EC00027;EC000880;EC000881;EC000859;EC000861</t>
  </si>
  <si>
    <t>Glutathione metabolism</t>
  </si>
  <si>
    <t>EC000145;EC000516;EC000517;EC000518;EC000101;EC000102;EC00019;EC00020;EC000701;EC000739;EC000740;EC000741;EC000742;EC00073;EC00074;EC000151;EC000298;EC000533;EC0001290</t>
  </si>
  <si>
    <t>Glyoxylate and dicarboxylate metabolism</t>
  </si>
  <si>
    <t>EC000383;EC000643;EC000644;EC00027;EC000173;EC000604;EC000606;EC00060;EC00061;EC00063;EC00019;EC00020;EC000266;EC000188;EC00018;EC00057;EC00059;EC000213;EC000215</t>
  </si>
  <si>
    <t>Pyruvate metabolism</t>
  </si>
  <si>
    <t>EC00027;EC00068;EC00070;EC000206;EC00018;EC000173;EC0001116;EC0001117;EC0001118;EC00064;EC000233;EC000234;EC000139</t>
  </si>
  <si>
    <t>EC000113;EC000114;EC000115;EC000116;EC000118;EC0001114;EC00030;EC00032;EC00029;EC00018;EC000636;EC000638;EC00064;EC000206</t>
  </si>
  <si>
    <t>Alanine, aspartate and glutamate metabolism</t>
  </si>
  <si>
    <t>EC000621;EC000623;EC00037;EC000176;EC000177;EC000836;EC000838;EC000839;EC000884;EC00029;EC000113;EC000114;EC000115;EC000116;EC000118;EC00019;EC00020;EC000322;EC000323;EC000325;EC00057;EC00059;EC000859;EC000861;EC000188;EC00027;EC000139;EC00018;EC000402;EC000404;EC00030;EC00032;EC00021;EC000195;EC000338;EC000339;EC000340;EC000827</t>
  </si>
  <si>
    <t>beta-Alanine metabolism</t>
  </si>
  <si>
    <t>EC000206;EC00018;EC00029;EC00037;EC000176;EC000177;EC000394;EC000396;EC000367;EC000368;EC000573;EC000574;EC000533;EC000958;EC000107;EC000108;EC000960;EC000152;EC000154;EC000298</t>
  </si>
  <si>
    <t>EC0008;EC00057;EC00059;EC000195;EC000639;EC00072;EC000287;EC000288;EC000394;EC000396;EC000176;EC000177;EC00056;EC00044;EC00046;EC000427;EC000428;EC000429;EC000528;EC000570;EC000571;EC000423;EC000700;EC000354;EC000224;EC000227;EC0001394;EC0001395;EC0001396;EC0001188;EC0001189;EC000402;EC000404;EC000285;EC000132;EC000107;EC000108;EC00029;EC000523;EC000524;EC000322;EC000323;EC000325</t>
  </si>
  <si>
    <t>Steroid biosynthesis</t>
  </si>
  <si>
    <t>EC000654;EC000936;EC000709;EC000712;EC000713;EC000207;EC000931;EC000933;EC000628;EC0001207;EC0001208;EC000725;EC000842;EC0001409;EC0001343;EC0001345</t>
  </si>
  <si>
    <t>Arginine biosynthesis</t>
  </si>
  <si>
    <t>EC00019;EC00020;EC00053;EC000401;EC000836;EC000838;EC000839;EC00037;EC000308;EC000195;EC00073;EC00074;EC00057;EC00059;EC00021;EC000487;EC000139</t>
  </si>
  <si>
    <t>EC000113;EC000114;EC000115;EC000116;EC000118;EC000235;EC000236;EC000237;EC00064;EC000158;EC000143;EC000144;EC000322;EC000323;EC000325;EC000636;EC000638;EC00030;EC00032</t>
  </si>
  <si>
    <t>EC000362;EC000364;EC000365;EC000127;EC000128;EC000129;EC00057;EC00059;EC000132;EC000827;EC000891;EC000906;EC000907;EC000908;EC000926;EC000919;EC0001;EC0006;EC00013;EC00015;EC000884;EC000148;EC000220;EC000221;EC000223;EC000350;EC000352;EC000463;EC000466;EC0001001;EC0001002;EC0001003;EC000733;EC000164;EC000165;EC000512;EC000267;EC000268;EC000280;EC000281;EC000245;EC000246;EC000669;EC000369;EC00048;EC000231;EC000232;EC000685;EC000697;EC0001413;EC000356;EC000357;EC000150;EC000687;EC000782;EC0001126;EC0001419;EC0001421</t>
  </si>
  <si>
    <t>Glycine, serine and threonine metabolism</t>
  </si>
  <si>
    <t>EC00060;EC00061;EC00063;EC000213;EC000215;EC000322;EC000323;EC000325;EC000774;EC000776;EC000607;EC000608;EC000610;EC00029;EC000208;EC000209;EC000266;EC000289;EC000290;EC000291;EC000101;EC000102;EC000113;EC000114;EC000115;EC000116;EC000118;EC000855;EC00018;EC000397;EC000399</t>
  </si>
  <si>
    <t>EC00019;EC00020;EC000195;EC00057;EC00059</t>
  </si>
  <si>
    <t>Glycolysis or Gluconeogenesis</t>
  </si>
  <si>
    <t>EC00064;EC00018;EC000206;EC00068;EC00070;EC000213;EC000215;EC000122;EC000341;EC00086;EC00087;EC00088;EC00024;EC00027;EC000240;EC000241</t>
  </si>
  <si>
    <t>EC00086;EC00087;EC00088;EC000735;EC000523;EC000524;EC000127;EC000128;EC000129;EC000137;EC000138;EC000122;EC000966;EC000967;EC000341;EC000330;EC000332;EC000674;EC000264;EC000216;EC000266;EC000753;EC000754;EC000132;EC000278;EC000213;EC000215</t>
  </si>
  <si>
    <t>Citrate cycle (TCA cycle)</t>
  </si>
  <si>
    <t>EC00021;EC00064;EC00030;EC00032;EC000963;EC000188;EC00027;EC000173;EC000383;EC00018;EC000139;EC00068;EC00070</t>
  </si>
  <si>
    <t>Primary bile acid biosynthesis</t>
  </si>
  <si>
    <t>EC000207;EC000863;EC000725;EC000709;EC000712;EC000713;EC000977;EC000978;EC000979;EC000975;EC000794;EC000247;EC000981;EC0001343;EC0001345;EC000525;EC000983;EC000916;EC000918;EC000986;EC000984;EC0001346;EC0001348;EC000744</t>
  </si>
  <si>
    <t>Thiamine metabolism</t>
  </si>
  <si>
    <t>EC000101;EC000102;EC000826;EC00064</t>
  </si>
  <si>
    <t>Pentose and glucuronate interconversions</t>
  </si>
  <si>
    <t>EC00022;EC00086;EC00087;EC00088;EC000264;EC000127;EC000128;EC000129;EC000137;EC000138;EC000632;EC000212;EC000771;EC000772;EC000548</t>
  </si>
  <si>
    <t>Arginine and proline metabolism</t>
  </si>
  <si>
    <t>EC00053;EC000289;EC000290;EC000291;EC00073;EC00074;EC000151;EC000298;EC000533;EC000322;EC000323;EC000325;EC000377;EC000378;EC000739;EC000740;EC000741;EC000742;EC000397;EC000399;EC000169;EC00019;EC00020;EC000834;EC000643;EC000644;EC000781;EC000201;EC000573;EC000574;EC000816;EC000859;EC000861;EC00018</t>
  </si>
  <si>
    <t>Valine, leucine and isoleucine biosynthesis</t>
  </si>
  <si>
    <t>EC000208;EC000209;EC000235;EC000236;EC000237;EC000143;EC000144;EC000158;EC000113;EC000114;EC000115;EC000116;EC000118</t>
  </si>
  <si>
    <t>Sphingolipid metabolism</t>
  </si>
  <si>
    <t>EC000564;EC000299;EC000300;EC00060;EC00061;EC00063;EC000732;EC0001212;EC000333;EC000334;EC000335</t>
  </si>
  <si>
    <t>EC000445;EC000634;EC000635;EC000582;EC000586;EC000397;EC000399;EC00019;EC00020;EC000433;EC0001066</t>
  </si>
  <si>
    <t>Terpenoid backbone biosynthesis</t>
  </si>
  <si>
    <t>EC000385;EC000386;EC000387;EC000648;EC000641;EC000329;EC0001375;EC000844;EC000846;EC000847</t>
  </si>
  <si>
    <t>EC00019;EC00020;EC000867;EC000868;EC000540;EC000542;EC000543;EC000152;EC000154;EC000367;EC000368;EC000942;EC000939;EC0001071;EC0001074;EC000373;EC000374;EC000650;EC000651;EC000626;EC000405;EC000573;EC000574;EC0001076;EC0001078;EC00037</t>
  </si>
  <si>
    <t>Amino sugar and nucleotide sugar metabolism</t>
  </si>
  <si>
    <t>EC000155;EC000348;EC000349;EC0001116;EC0001117;EC0001118;EC000272;EC00086;EC00087;EC00088;EC00022;EC000338;EC000339;EC000340;EC00024;EC000306;EC000818;EC000819;EC000612;EC000614;EC000314;EC000317;EC000280;EC000281;EC000146;EC000211;EC000148;EC0001398;EC0001400</t>
  </si>
  <si>
    <t>Biosynthesis of unsaturated fatty acids</t>
  </si>
  <si>
    <t>EC000251;EC000252;EC000705;EC000707;EC000529;EC000530;EC000720;EC000721;EC000228;EC000229;EC000230;EC000832;EC0001141;EC0001142;EC0001146;EC0001147;EC0001143;EC0001144</t>
  </si>
  <si>
    <t>Cysteine and methionine metabolism</t>
  </si>
  <si>
    <t>EC000662;EC000774;EC000776;EC00060;EC00061;EC00063;EC00067;EC00017;EC000446;EC000434;EC000435;EC000436;EC000101;EC000102;EC000483;EC000484;EC0001387;EC000322;EC000323;EC000325;EC000113;EC000114;EC000115;EC000116;EC000118;EC000607;EC000608;EC000610;EC000766;EC000747;EC00018;EC0001389;EC0001390;EC000213;EC000215</t>
  </si>
  <si>
    <t>Taurine and hypotaurine metabolism</t>
  </si>
  <si>
    <t>EC000446;EC000451;EC000101;EC000102;EC000483;EC000484;EC000247;EC0001087;EC0001088</t>
  </si>
  <si>
    <t>EC000920;EC000921;EC000923;EC000228;EC000229;EC000230;EC000761;EC000762;EC0001110;EC000576;EC000578;EC000579;EC000763;EC000390;EC000499;EC000500;EC000909;EC0001226;EC0001108;EC0001104</t>
  </si>
  <si>
    <t>Glycerolipid metabolism</t>
  </si>
  <si>
    <t>EC00095;EC00096;EC000206;EC000266;EC000122;EC000213;EC000215</t>
  </si>
  <si>
    <t>Glycosylphosphatidylinositol (GPI)-anchor biosynthesis</t>
  </si>
  <si>
    <t>EC000251;EC000252;EC000333;EC000334;EC000335</t>
  </si>
  <si>
    <t>EC000551;EC00024;EC000341;EC00086;EC00087;EC00088;EC000818;EC000819;EC000122;EC000206;EC000612;EC000614;EC000306;EC000889;EC000890</t>
  </si>
  <si>
    <t>Steroid hormone biosynthesis</t>
  </si>
  <si>
    <t>EC000207;EC000863;EC000977;EC000978;EC000979;EC000745;EC000990;EC000460;EC000903;EC000904;EC000452;EC000453;EC000656;EC000534;EC000531;EC000532;EC000991;EC000993;EC000995;EC000592;EC000593;EC000953;EC0001354;EC000996;EC0001352;EC0001199;EC0001193;EC0001194;EC000998</t>
  </si>
  <si>
    <t>Retinol metabolism</t>
  </si>
  <si>
    <t>EC000425;EC000359;EC000360;EC000536;EC0001254;EC0001334;EC0001335;EC0001191</t>
  </si>
  <si>
    <t>Vitamin B6 metabolism</t>
  </si>
  <si>
    <t>EC0001122;EC000489;EC000296;EC000253;EC000255;EC000256;EC000457;EC0001119;EC000565</t>
  </si>
  <si>
    <t>Ascorbate and aldarate metabolism</t>
  </si>
  <si>
    <t>EC00024;EC00022;EC000216;EC000800;EC000264;EC000212;EC000552</t>
  </si>
  <si>
    <t>Selenocompound metabolism</t>
  </si>
  <si>
    <t>EC0001063;EC0001064;EC00029</t>
  </si>
  <si>
    <t>Mannose type O-glycan biosynthesis</t>
  </si>
  <si>
    <t>EC000548;EC00056;EC000632</t>
  </si>
  <si>
    <t>Inositol phosphate metabolism</t>
  </si>
  <si>
    <t>EC000676;EC000341;EC00086;EC00087;EC00088;EC00024;EC000691;EC000693;EC00018;EC000122;EC000212</t>
  </si>
  <si>
    <t>Fatty acid biosynthesis</t>
  </si>
  <si>
    <t>EC000251;EC000252;EC0001138;EC0001139;EC000801;EC000802;EC000717;EC0001135</t>
  </si>
  <si>
    <t>Starch and sucrose metabolism</t>
  </si>
  <si>
    <t>EC00092;EC00024;EC00022;EC00086;EC00087;EC00088;EC000341</t>
  </si>
  <si>
    <t>Linoleic acid metabolism</t>
  </si>
  <si>
    <t>EC000720;EC000721;EC0001235;EC0001236;EC0001238;EC000914</t>
  </si>
  <si>
    <t>Pantothenate and CoA biosynthesis</t>
  </si>
  <si>
    <t>EC000560;EC000561;EC000569;EC000176;EC000177;EC000394;EC000396;EC00037;EC000848;EC000853;EC000101;EC000102;EC00029;EC000107;EC000108;EC000158;EC0006</t>
  </si>
  <si>
    <t>One carbon pool by folate</t>
  </si>
  <si>
    <t>EC000411;EC0001;EC00067;EC00017;EC000322;EC000323;EC000325;EC00029;EC00060;EC00061;EC00063;EC000774;EC000776;EC000354;EC000220;EC000221;EC000223;EC000101;EC000102</t>
  </si>
  <si>
    <t>alpha-Linolenic acid metabolism</t>
  </si>
  <si>
    <t>EC0001141;EC0001142;EC0001267;EC0001268</t>
  </si>
  <si>
    <t>Folate biosynthesis</t>
  </si>
  <si>
    <t>EC000269;EC000562;EC0001096;EC0001094;EC000928;EC000164;EC000165;EC0001098;EC0001377;EC000828;EC0001401</t>
  </si>
  <si>
    <t>Lysine degradation</t>
  </si>
  <si>
    <t>EC00035;EC000415;EC000416;EC000418;EC000816;EC000599;EC00064;EC0001338;EC000377;EC000378;EC000882;EC000883;EC000664;EC000665;EC000421</t>
  </si>
  <si>
    <t>Sulfur metabolism</t>
  </si>
  <si>
    <t>EC00048;EC000231;EC000232</t>
  </si>
  <si>
    <t>Nicotinate and nicotinamide metabolism</t>
  </si>
  <si>
    <t>EC00037;EC000567;EC000666;EC000667;EC000828;EC000180;EC000181;EC000257;EC000259;EC0001082;EC0001084</t>
  </si>
  <si>
    <t>Phosphonate and phosphinate metabolism</t>
  </si>
  <si>
    <t>EC0001148;EC0001150</t>
  </si>
  <si>
    <t>EC0001319;EC0001325;EC0001326;EC0001203;EC0001402;EC0001405;EC0001408;EC0001179;EC0001180;EC0001318;EC000257;EC000259</t>
  </si>
  <si>
    <t>EC000929;EC000930;EC0001181;EC0001297;EC0001301;EC0001281;EC0001287;EC0001288;EC0001286;EC0001182;EC0001183;EC0001312;EC0001292;EC0001035;EC0001036;EC0001306;EC000703;EC0001330;EC0001333</t>
  </si>
  <si>
    <t>EC000122;EC000476;EC000664;EC000665;EC000333;EC000334;EC000335;EC00095;EC00096;EC000520;EC000469</t>
  </si>
  <si>
    <t>Fatty acid degradation</t>
  </si>
  <si>
    <t>EC000798;EC000251;EC000252;EC000820;EC000821</t>
  </si>
  <si>
    <t>Fatty acid elongation</t>
  </si>
  <si>
    <t>EC000798;EC000251;EC000252</t>
  </si>
  <si>
    <t>Riboflavin metabolism</t>
  </si>
  <si>
    <t>EC000262;EC00052;EC0009</t>
  </si>
  <si>
    <t>Metabolism of xenobiotics by cytochrome P450</t>
  </si>
  <si>
    <t>EC0001240;EC0001224;EC0001227;EC0001251;EC0001128;EC0001230;EC0001368;EC0001153;EC0001358;EC000558;EC0001242;EC0001243;EC0001245;EC0001252;EC0001239;EC0001246;EC000824;EC000825;EC000681;EC000683;EC0001362;EC0001363</t>
  </si>
  <si>
    <t>Phenylalanine, tyrosine and tryptophan biosynthesis</t>
  </si>
  <si>
    <t>EC00078;EC00079;EC00081;EC00082</t>
  </si>
  <si>
    <t>EC00086;EC00087;EC00088;EC00092;EC00024;EC000974;EC000968;EC00022;EC000341;EC000551</t>
  </si>
  <si>
    <t>Phenylalanine metabolism</t>
  </si>
  <si>
    <t>EC000480;EC00078;EC00079;EC000955;EC000504;EC00081;EC00082</t>
  </si>
  <si>
    <t>Ubiquinone and other terpenoid-quinone biosynthesis</t>
  </si>
  <si>
    <t>EC000185;EC00081;EC00082</t>
  </si>
  <si>
    <t>EC00075;EC00076;EC000723;EC000539;EC0001035;EC0001036;EC0001040;EC000508;EC000808;EC000885;EC000886;EC000887;EC000310;EC000498;EC0001052;EC000596;EC0001044;EC0001047;EC0001056;EC0001057;EC0001059;EC000111;EC000112;EC0001043;EC0001048;EC000681;EC000683;EC0001134</t>
  </si>
  <si>
    <t>EC000544;EC000545;EC0001018;EC000296;EC0001007;EC0001032;EC000875;EC000504;EC0001014;EC0001015;EC0001024;EC000343;EC000346;EC00081;EC00082;EC000790;EC000619;EC000620;EC000432;EC0001010;EC000185;EC0001021;EC000476;EC00018;EC000139;EC000113;EC000114;EC000115;EC000116;EC000118;EC000737;EC000491</t>
  </si>
  <si>
    <t>EC00024;EC0001169</t>
  </si>
  <si>
    <t>Lipoic acid metabolism</t>
  </si>
  <si>
    <t>EC00018;EC00064;EC00021</t>
  </si>
  <si>
    <t>Biotin metabolism</t>
  </si>
  <si>
    <t>EC00035</t>
  </si>
  <si>
    <t>pathway_name</t>
  </si>
  <si>
    <t>map00650</t>
  </si>
  <si>
    <t xml:space="preserve">map00480 </t>
  </si>
  <si>
    <t>map00470</t>
  </si>
  <si>
    <t>map00620</t>
  </si>
  <si>
    <t>map00640</t>
  </si>
  <si>
    <t>map00630</t>
  </si>
  <si>
    <t>map00250</t>
  </si>
  <si>
    <t>map00410</t>
  </si>
  <si>
    <t>map00240</t>
  </si>
  <si>
    <t>map00100</t>
  </si>
  <si>
    <t>map00220</t>
  </si>
  <si>
    <t>map00280</t>
  </si>
  <si>
    <t>map00230</t>
  </si>
  <si>
    <t>map00910</t>
  </si>
  <si>
    <t>map00260</t>
  </si>
  <si>
    <t>map00010</t>
  </si>
  <si>
    <t>map00030</t>
  </si>
  <si>
    <t>map00020</t>
  </si>
  <si>
    <t>map00120</t>
  </si>
  <si>
    <t>map00730</t>
  </si>
  <si>
    <t>pathway_ID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</si>
</sst>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C2E1-2DBB-C649-8AEE-E0F3B43A4914}">
  <dimension ref="A1:O106"/>
  <sheetViews>
    <sheetView workbookViewId="0"/>
  </sheetViews>
  <sheetFormatPr baseColWidth="10" defaultRowHeight="16"/>
  <sheetData>
    <row r="1" spans="1:15">
      <c r="A1" t="s">
        <v>453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>
      <c r="A2" t="s">
        <v>63</v>
      </c>
      <c r="B2">
        <v>72</v>
      </c>
      <c r="C2">
        <v>39</v>
      </c>
      <c r="D2">
        <v>31</v>
      </c>
      <c r="E2">
        <v>23.018000000000001</v>
      </c>
      <c r="F2">
        <v>3.2674000000000001E-4</v>
      </c>
      <c r="G2">
        <v>8.5030000000000001E-4</v>
      </c>
      <c r="H2">
        <v>6.8069000000000003E-3</v>
      </c>
      <c r="I2">
        <v>0</v>
      </c>
      <c r="J2">
        <v>0</v>
      </c>
      <c r="K2">
        <v>3.4307699999999997E-2</v>
      </c>
      <c r="L2">
        <v>8.92815E-2</v>
      </c>
      <c r="M2">
        <v>0.71472449999999998</v>
      </c>
      <c r="N2" t="s">
        <v>39</v>
      </c>
      <c r="O2" t="s">
        <v>225</v>
      </c>
    </row>
    <row r="3" spans="1:15">
      <c r="A3" t="s">
        <v>5</v>
      </c>
      <c r="B3">
        <v>15</v>
      </c>
      <c r="C3">
        <v>13</v>
      </c>
      <c r="D3">
        <v>12</v>
      </c>
      <c r="E3">
        <v>14.067</v>
      </c>
      <c r="F3">
        <v>3.6968E-4</v>
      </c>
      <c r="G3">
        <v>1.2516999999999999E-3</v>
      </c>
      <c r="H3">
        <v>6.8076999999999999E-3</v>
      </c>
      <c r="I3">
        <v>0</v>
      </c>
      <c r="J3">
        <v>0</v>
      </c>
      <c r="K3">
        <v>3.8446719999999997E-2</v>
      </c>
      <c r="L3">
        <v>0.13017680000000001</v>
      </c>
      <c r="M3">
        <v>0.71472449999999998</v>
      </c>
      <c r="N3" t="s">
        <v>40</v>
      </c>
      <c r="O3" t="s">
        <v>226</v>
      </c>
    </row>
    <row r="4" spans="1:15">
      <c r="A4" t="s">
        <v>9</v>
      </c>
      <c r="B4">
        <v>80</v>
      </c>
      <c r="C4">
        <v>60</v>
      </c>
      <c r="D4">
        <v>44</v>
      </c>
      <c r="E4">
        <v>49.02</v>
      </c>
      <c r="F4">
        <v>1.5474E-3</v>
      </c>
      <c r="G4">
        <v>2.7458000000000001E-3</v>
      </c>
      <c r="H4">
        <v>6.8313000000000002E-3</v>
      </c>
      <c r="I4">
        <v>0</v>
      </c>
      <c r="J4">
        <v>0</v>
      </c>
      <c r="K4">
        <v>0.1593822</v>
      </c>
      <c r="L4">
        <v>0.2828174</v>
      </c>
      <c r="M4">
        <v>0.71472449999999998</v>
      </c>
      <c r="N4" t="s">
        <v>41</v>
      </c>
      <c r="O4" t="s">
        <v>227</v>
      </c>
    </row>
    <row r="5" spans="1:15">
      <c r="A5" t="s">
        <v>4</v>
      </c>
      <c r="B5">
        <v>20</v>
      </c>
      <c r="C5">
        <v>13</v>
      </c>
      <c r="D5">
        <v>11</v>
      </c>
      <c r="E5">
        <v>10.23</v>
      </c>
      <c r="F5">
        <v>6.0035000000000002E-3</v>
      </c>
      <c r="G5">
        <v>1.7724E-2</v>
      </c>
      <c r="H5">
        <v>6.9211999999999997E-3</v>
      </c>
      <c r="I5">
        <v>83</v>
      </c>
      <c r="J5">
        <v>0.83</v>
      </c>
      <c r="K5">
        <v>0.61235700000000004</v>
      </c>
      <c r="L5">
        <v>1</v>
      </c>
      <c r="M5">
        <v>0.71472449999999998</v>
      </c>
      <c r="N5" t="s">
        <v>42</v>
      </c>
      <c r="O5" t="s">
        <v>228</v>
      </c>
    </row>
    <row r="6" spans="1:15">
      <c r="A6" t="s">
        <v>12</v>
      </c>
      <c r="B6">
        <v>114</v>
      </c>
      <c r="C6">
        <v>73</v>
      </c>
      <c r="D6">
        <v>58</v>
      </c>
      <c r="E6">
        <v>57.972000000000001</v>
      </c>
      <c r="F6">
        <v>9.7833999999999994E-3</v>
      </c>
      <c r="G6">
        <v>1.5074000000000001E-2</v>
      </c>
      <c r="H6">
        <v>6.9985000000000004E-3</v>
      </c>
      <c r="I6">
        <v>100</v>
      </c>
      <c r="J6">
        <v>1</v>
      </c>
      <c r="K6">
        <v>0.98812339999999999</v>
      </c>
      <c r="L6">
        <v>1</v>
      </c>
      <c r="M6">
        <v>0.71472449999999998</v>
      </c>
      <c r="N6" t="s">
        <v>43</v>
      </c>
      <c r="O6" t="s">
        <v>229</v>
      </c>
    </row>
    <row r="7" spans="1:15">
      <c r="A7" t="s">
        <v>16</v>
      </c>
      <c r="B7">
        <v>55</v>
      </c>
      <c r="C7">
        <v>33</v>
      </c>
      <c r="D7">
        <v>28</v>
      </c>
      <c r="E7">
        <v>14.919</v>
      </c>
      <c r="F7">
        <v>1.0251E-2</v>
      </c>
      <c r="G7">
        <v>2.3768999999999998E-2</v>
      </c>
      <c r="H7">
        <v>7.0080999999999997E-3</v>
      </c>
      <c r="I7">
        <v>0</v>
      </c>
      <c r="J7">
        <v>0</v>
      </c>
      <c r="K7">
        <v>1</v>
      </c>
      <c r="L7">
        <v>1</v>
      </c>
      <c r="M7">
        <v>0.71472449999999998</v>
      </c>
      <c r="N7" t="s">
        <v>44</v>
      </c>
      <c r="O7" t="s">
        <v>230</v>
      </c>
    </row>
    <row r="8" spans="1:15">
      <c r="A8" t="s">
        <v>15</v>
      </c>
      <c r="B8">
        <v>49</v>
      </c>
      <c r="C8">
        <v>38</v>
      </c>
      <c r="D8">
        <v>34</v>
      </c>
      <c r="E8">
        <v>23.018000000000001</v>
      </c>
      <c r="F8">
        <v>1.0710000000000001E-2</v>
      </c>
      <c r="G8">
        <v>2.1090000000000001E-2</v>
      </c>
      <c r="H8">
        <v>7.0175999999999997E-3</v>
      </c>
      <c r="I8">
        <v>0</v>
      </c>
      <c r="J8">
        <v>0</v>
      </c>
      <c r="K8">
        <v>1</v>
      </c>
      <c r="L8">
        <v>1</v>
      </c>
      <c r="M8">
        <v>0.71472449999999998</v>
      </c>
      <c r="N8" t="s">
        <v>45</v>
      </c>
      <c r="O8" t="s">
        <v>231</v>
      </c>
    </row>
    <row r="9" spans="1:15">
      <c r="A9" t="s">
        <v>7</v>
      </c>
      <c r="B9">
        <v>34</v>
      </c>
      <c r="C9">
        <v>23</v>
      </c>
      <c r="D9">
        <v>20</v>
      </c>
      <c r="E9">
        <v>22.166</v>
      </c>
      <c r="F9">
        <v>1.1226E-2</v>
      </c>
      <c r="G9">
        <v>2.2287999999999999E-2</v>
      </c>
      <c r="H9">
        <v>7.0282000000000001E-3</v>
      </c>
      <c r="I9">
        <v>100</v>
      </c>
      <c r="J9">
        <v>1</v>
      </c>
      <c r="K9">
        <v>1</v>
      </c>
      <c r="L9">
        <v>1</v>
      </c>
      <c r="M9">
        <v>0.71472449999999998</v>
      </c>
      <c r="N9" t="s">
        <v>46</v>
      </c>
      <c r="O9" t="s">
        <v>232</v>
      </c>
    </row>
    <row r="10" spans="1:15">
      <c r="A10" t="s">
        <v>105</v>
      </c>
      <c r="B10">
        <v>19</v>
      </c>
      <c r="C10">
        <v>10</v>
      </c>
      <c r="D10">
        <v>9</v>
      </c>
      <c r="E10">
        <v>11.083</v>
      </c>
      <c r="F10">
        <v>1.7781000000000002E-2</v>
      </c>
      <c r="G10">
        <v>4.3464000000000003E-2</v>
      </c>
      <c r="H10">
        <v>7.1650000000000004E-3</v>
      </c>
      <c r="I10">
        <v>100</v>
      </c>
      <c r="J10">
        <v>1</v>
      </c>
      <c r="K10">
        <v>1</v>
      </c>
      <c r="L10">
        <v>1</v>
      </c>
      <c r="M10">
        <v>0.71472449999999998</v>
      </c>
      <c r="N10" t="s">
        <v>47</v>
      </c>
      <c r="O10" t="s">
        <v>233</v>
      </c>
    </row>
    <row r="11" spans="1:15">
      <c r="A11" t="s">
        <v>6</v>
      </c>
      <c r="B11">
        <v>70</v>
      </c>
      <c r="C11">
        <v>56</v>
      </c>
      <c r="D11">
        <v>42</v>
      </c>
      <c r="E11">
        <v>56.692999999999998</v>
      </c>
      <c r="F11">
        <v>2.1155E-2</v>
      </c>
      <c r="G11">
        <v>3.1313000000000001E-2</v>
      </c>
      <c r="H11">
        <v>7.2364999999999999E-3</v>
      </c>
      <c r="I11">
        <v>0</v>
      </c>
      <c r="J11">
        <v>0</v>
      </c>
      <c r="K11">
        <v>1</v>
      </c>
      <c r="L11">
        <v>1</v>
      </c>
      <c r="M11">
        <v>0.71472449999999998</v>
      </c>
      <c r="N11" t="s">
        <v>48</v>
      </c>
      <c r="O11" t="s">
        <v>234</v>
      </c>
    </row>
    <row r="12" spans="1:15">
      <c r="A12" t="s">
        <v>8</v>
      </c>
      <c r="B12">
        <v>65</v>
      </c>
      <c r="C12">
        <v>26</v>
      </c>
      <c r="D12">
        <v>21</v>
      </c>
      <c r="E12">
        <v>22.166</v>
      </c>
      <c r="F12">
        <v>2.2679999999999999E-2</v>
      </c>
      <c r="G12">
        <v>4.2063999999999997E-2</v>
      </c>
      <c r="H12">
        <v>7.2690999999999997E-3</v>
      </c>
      <c r="I12">
        <v>0</v>
      </c>
      <c r="J12">
        <v>0</v>
      </c>
      <c r="K12">
        <v>1</v>
      </c>
      <c r="L12">
        <v>1</v>
      </c>
      <c r="M12">
        <v>0.71472449999999998</v>
      </c>
      <c r="N12" t="s">
        <v>49</v>
      </c>
      <c r="O12" t="s">
        <v>235</v>
      </c>
    </row>
    <row r="13" spans="1:15">
      <c r="A13" t="s">
        <v>19</v>
      </c>
      <c r="B13">
        <v>35</v>
      </c>
      <c r="C13">
        <v>16</v>
      </c>
      <c r="D13">
        <v>12</v>
      </c>
      <c r="E13">
        <v>14.919</v>
      </c>
      <c r="F13">
        <v>2.4108000000000001E-2</v>
      </c>
      <c r="G13">
        <v>5.0470000000000001E-2</v>
      </c>
      <c r="H13">
        <v>7.2997000000000001E-3</v>
      </c>
      <c r="I13">
        <v>0</v>
      </c>
      <c r="J13">
        <v>0</v>
      </c>
      <c r="K13">
        <v>1</v>
      </c>
      <c r="L13">
        <v>1</v>
      </c>
      <c r="M13">
        <v>0.71472449999999998</v>
      </c>
      <c r="N13" t="s">
        <v>50</v>
      </c>
      <c r="O13" t="s">
        <v>236</v>
      </c>
    </row>
    <row r="14" spans="1:15">
      <c r="A14" t="s">
        <v>13</v>
      </c>
      <c r="B14">
        <v>85</v>
      </c>
      <c r="C14">
        <v>47</v>
      </c>
      <c r="D14">
        <v>37</v>
      </c>
      <c r="E14">
        <v>48.167999999999999</v>
      </c>
      <c r="F14">
        <v>2.4447E-2</v>
      </c>
      <c r="G14">
        <v>3.7072000000000001E-2</v>
      </c>
      <c r="H14">
        <v>7.3070000000000001E-3</v>
      </c>
      <c r="I14">
        <v>100</v>
      </c>
      <c r="J14">
        <v>1</v>
      </c>
      <c r="K14">
        <v>1</v>
      </c>
      <c r="L14">
        <v>1</v>
      </c>
      <c r="M14">
        <v>0.71472449999999998</v>
      </c>
      <c r="N14" t="s">
        <v>51</v>
      </c>
      <c r="O14" t="s">
        <v>237</v>
      </c>
    </row>
    <row r="15" spans="1:15">
      <c r="A15" t="s">
        <v>17</v>
      </c>
      <c r="B15">
        <v>31</v>
      </c>
      <c r="C15">
        <v>14</v>
      </c>
      <c r="D15">
        <v>10</v>
      </c>
      <c r="E15">
        <v>10.23</v>
      </c>
      <c r="F15">
        <v>4.5808000000000001E-2</v>
      </c>
      <c r="G15">
        <v>0.1</v>
      </c>
      <c r="H15">
        <v>7.7827E-3</v>
      </c>
      <c r="I15">
        <v>0</v>
      </c>
      <c r="J15">
        <v>0</v>
      </c>
      <c r="K15">
        <v>1</v>
      </c>
      <c r="L15">
        <v>1</v>
      </c>
      <c r="M15">
        <v>0.71600839999999999</v>
      </c>
      <c r="N15" t="s">
        <v>52</v>
      </c>
      <c r="O15" t="s">
        <v>238</v>
      </c>
    </row>
    <row r="16" spans="1:15">
      <c r="A16" t="s">
        <v>149</v>
      </c>
      <c r="B16">
        <v>82</v>
      </c>
      <c r="C16">
        <v>51</v>
      </c>
      <c r="D16">
        <v>44</v>
      </c>
      <c r="E16">
        <v>24.297000000000001</v>
      </c>
      <c r="F16">
        <v>4.8995999999999998E-2</v>
      </c>
      <c r="G16">
        <v>8.1851999999999994E-2</v>
      </c>
      <c r="H16">
        <v>7.8565000000000006E-3</v>
      </c>
      <c r="I16">
        <v>0</v>
      </c>
      <c r="J16">
        <v>0</v>
      </c>
      <c r="K16">
        <v>1</v>
      </c>
      <c r="L16">
        <v>1</v>
      </c>
      <c r="M16">
        <v>0.71600839999999999</v>
      </c>
      <c r="N16" t="s">
        <v>53</v>
      </c>
      <c r="O16" t="s">
        <v>239</v>
      </c>
    </row>
    <row r="17" spans="1:15">
      <c r="A17" t="s">
        <v>69</v>
      </c>
      <c r="B17">
        <v>43</v>
      </c>
      <c r="C17">
        <v>14</v>
      </c>
      <c r="D17">
        <v>12</v>
      </c>
      <c r="E17">
        <v>12.362</v>
      </c>
      <c r="F17">
        <v>6.0440000000000001E-2</v>
      </c>
      <c r="G17">
        <v>0.11852</v>
      </c>
      <c r="H17">
        <v>8.1276000000000004E-3</v>
      </c>
      <c r="I17">
        <v>0</v>
      </c>
      <c r="J17">
        <v>0</v>
      </c>
      <c r="K17">
        <v>1</v>
      </c>
      <c r="L17">
        <v>1</v>
      </c>
      <c r="M17">
        <v>0.73148400000000002</v>
      </c>
      <c r="N17" t="s">
        <v>54</v>
      </c>
      <c r="O17" t="s">
        <v>240</v>
      </c>
    </row>
    <row r="18" spans="1:15">
      <c r="A18" t="s">
        <v>18</v>
      </c>
      <c r="B18">
        <v>156</v>
      </c>
      <c r="C18">
        <v>50</v>
      </c>
      <c r="D18">
        <v>35</v>
      </c>
      <c r="E18">
        <v>45.61</v>
      </c>
      <c r="F18">
        <v>6.7740999999999996E-2</v>
      </c>
      <c r="G18">
        <v>9.6264000000000002E-2</v>
      </c>
      <c r="H18">
        <v>8.3058000000000003E-3</v>
      </c>
      <c r="I18">
        <v>0</v>
      </c>
      <c r="J18">
        <v>0</v>
      </c>
      <c r="K18">
        <v>1</v>
      </c>
      <c r="L18">
        <v>1</v>
      </c>
      <c r="M18">
        <v>0.73921619999999999</v>
      </c>
      <c r="N18" t="s">
        <v>55</v>
      </c>
      <c r="O18" t="s">
        <v>241</v>
      </c>
    </row>
    <row r="19" spans="1:15">
      <c r="A19" t="s">
        <v>23</v>
      </c>
      <c r="B19">
        <v>88</v>
      </c>
      <c r="C19">
        <v>51</v>
      </c>
      <c r="D19">
        <v>34</v>
      </c>
      <c r="E19">
        <v>46.889000000000003</v>
      </c>
      <c r="F19">
        <v>7.5219999999999995E-2</v>
      </c>
      <c r="G19">
        <v>0.10548</v>
      </c>
      <c r="H19">
        <v>8.4925999999999995E-3</v>
      </c>
      <c r="I19">
        <v>100</v>
      </c>
      <c r="J19">
        <v>1</v>
      </c>
      <c r="K19">
        <v>1</v>
      </c>
      <c r="L19">
        <v>1</v>
      </c>
      <c r="M19">
        <v>0.74734880000000004</v>
      </c>
      <c r="N19" t="s">
        <v>56</v>
      </c>
      <c r="O19" t="s">
        <v>242</v>
      </c>
    </row>
    <row r="20" spans="1:15">
      <c r="A20" t="s">
        <v>81</v>
      </c>
      <c r="B20">
        <v>94</v>
      </c>
      <c r="C20">
        <v>48</v>
      </c>
      <c r="D20">
        <v>29</v>
      </c>
      <c r="E20">
        <v>40.920999999999999</v>
      </c>
      <c r="F20">
        <v>7.6449000000000003E-2</v>
      </c>
      <c r="G20">
        <v>0.10962</v>
      </c>
      <c r="H20">
        <v>8.5237000000000004E-3</v>
      </c>
      <c r="I20">
        <v>100</v>
      </c>
      <c r="J20">
        <v>1</v>
      </c>
      <c r="K20">
        <v>1</v>
      </c>
      <c r="L20">
        <v>1</v>
      </c>
      <c r="M20">
        <v>0.74734880000000004</v>
      </c>
      <c r="N20" t="s">
        <v>57</v>
      </c>
      <c r="O20" t="s">
        <v>243</v>
      </c>
    </row>
    <row r="21" spans="1:15">
      <c r="A21" t="s">
        <v>87</v>
      </c>
      <c r="B21">
        <v>95</v>
      </c>
      <c r="C21">
        <v>60</v>
      </c>
      <c r="D21">
        <v>53</v>
      </c>
      <c r="E21">
        <v>25.15</v>
      </c>
      <c r="F21">
        <v>7.7963000000000005E-2</v>
      </c>
      <c r="G21">
        <v>0.12280000000000001</v>
      </c>
      <c r="H21">
        <v>8.5622000000000007E-3</v>
      </c>
      <c r="I21">
        <v>0</v>
      </c>
      <c r="J21">
        <v>0</v>
      </c>
      <c r="K21">
        <v>1</v>
      </c>
      <c r="L21">
        <v>1</v>
      </c>
      <c r="M21">
        <v>0.74734880000000004</v>
      </c>
      <c r="N21" t="s">
        <v>58</v>
      </c>
      <c r="O21" t="s">
        <v>244</v>
      </c>
    </row>
    <row r="22" spans="1:15">
      <c r="A22" t="s">
        <v>71</v>
      </c>
      <c r="B22">
        <v>74</v>
      </c>
      <c r="C22">
        <v>26</v>
      </c>
      <c r="D22">
        <v>15</v>
      </c>
      <c r="E22">
        <v>17.477</v>
      </c>
      <c r="F22">
        <v>8.0741999999999994E-2</v>
      </c>
      <c r="G22">
        <v>0.13783999999999999</v>
      </c>
      <c r="H22">
        <v>8.6333999999999994E-3</v>
      </c>
      <c r="I22">
        <v>0</v>
      </c>
      <c r="J22">
        <v>0</v>
      </c>
      <c r="K22">
        <v>1</v>
      </c>
      <c r="L22">
        <v>1</v>
      </c>
      <c r="M22">
        <v>0.74734880000000004</v>
      </c>
      <c r="N22" t="s">
        <v>60</v>
      </c>
      <c r="O22" t="s">
        <v>245</v>
      </c>
    </row>
    <row r="23" spans="1:15">
      <c r="A23" t="s">
        <v>20</v>
      </c>
      <c r="B23">
        <v>59</v>
      </c>
      <c r="C23">
        <v>31</v>
      </c>
      <c r="D23">
        <v>23</v>
      </c>
      <c r="E23">
        <v>19.608000000000001</v>
      </c>
      <c r="F23">
        <v>9.1042999999999999E-2</v>
      </c>
      <c r="G23">
        <v>0.14878</v>
      </c>
      <c r="H23">
        <v>8.9029E-3</v>
      </c>
      <c r="I23">
        <v>0</v>
      </c>
      <c r="J23">
        <v>0</v>
      </c>
      <c r="K23">
        <v>1</v>
      </c>
      <c r="L23">
        <v>1</v>
      </c>
      <c r="M23">
        <v>0.74784360000000005</v>
      </c>
      <c r="N23" t="s">
        <v>62</v>
      </c>
      <c r="O23" t="s">
        <v>246</v>
      </c>
    </row>
    <row r="24" spans="1:15">
      <c r="A24" t="s">
        <v>65</v>
      </c>
      <c r="B24">
        <v>6</v>
      </c>
      <c r="C24">
        <v>4</v>
      </c>
      <c r="D24">
        <v>4</v>
      </c>
      <c r="E24">
        <v>4.6889000000000003</v>
      </c>
      <c r="F24">
        <v>9.1189999999999993E-2</v>
      </c>
      <c r="G24">
        <v>0.23108000000000001</v>
      </c>
      <c r="H24">
        <v>8.9067999999999994E-3</v>
      </c>
      <c r="I24">
        <v>100</v>
      </c>
      <c r="J24">
        <v>1</v>
      </c>
      <c r="K24">
        <v>1</v>
      </c>
      <c r="L24">
        <v>1</v>
      </c>
      <c r="M24">
        <v>0.74784360000000005</v>
      </c>
      <c r="N24" t="s">
        <v>64</v>
      </c>
      <c r="O24" t="s">
        <v>247</v>
      </c>
    </row>
    <row r="25" spans="1:15">
      <c r="A25" t="s">
        <v>107</v>
      </c>
      <c r="B25">
        <v>30</v>
      </c>
      <c r="C25">
        <v>20</v>
      </c>
      <c r="D25">
        <v>17</v>
      </c>
      <c r="E25">
        <v>17.902999999999999</v>
      </c>
      <c r="F25">
        <v>0.10367</v>
      </c>
      <c r="G25">
        <v>0.16997000000000001</v>
      </c>
      <c r="H25">
        <v>9.2455999999999997E-3</v>
      </c>
      <c r="I25">
        <v>100</v>
      </c>
      <c r="J25">
        <v>1</v>
      </c>
      <c r="K25">
        <v>1</v>
      </c>
      <c r="L25">
        <v>1</v>
      </c>
      <c r="M25">
        <v>0.75813920000000001</v>
      </c>
      <c r="N25" t="s">
        <v>66</v>
      </c>
      <c r="O25" t="s">
        <v>248</v>
      </c>
    </row>
    <row r="26" spans="1:15">
      <c r="A26" t="s">
        <v>75</v>
      </c>
      <c r="B26">
        <v>67</v>
      </c>
      <c r="C26">
        <v>37</v>
      </c>
      <c r="D26">
        <v>25</v>
      </c>
      <c r="E26">
        <v>23.870999999999999</v>
      </c>
      <c r="F26">
        <v>0.10902000000000001</v>
      </c>
      <c r="G26">
        <v>0.16689000000000001</v>
      </c>
      <c r="H26">
        <v>9.3951E-3</v>
      </c>
      <c r="I26">
        <v>0</v>
      </c>
      <c r="J26">
        <v>0</v>
      </c>
      <c r="K26">
        <v>1</v>
      </c>
      <c r="L26">
        <v>1</v>
      </c>
      <c r="M26">
        <v>0.76100310000000004</v>
      </c>
      <c r="N26" t="s">
        <v>68</v>
      </c>
      <c r="O26" t="s">
        <v>249</v>
      </c>
    </row>
    <row r="27" spans="1:15">
      <c r="A27" t="s">
        <v>167</v>
      </c>
      <c r="B27">
        <v>67</v>
      </c>
      <c r="C27">
        <v>46</v>
      </c>
      <c r="D27">
        <v>29</v>
      </c>
      <c r="E27">
        <v>16.198</v>
      </c>
      <c r="F27">
        <v>0.11833</v>
      </c>
      <c r="G27">
        <v>0.19470999999999999</v>
      </c>
      <c r="H27">
        <v>9.6611000000000006E-3</v>
      </c>
      <c r="I27">
        <v>0</v>
      </c>
      <c r="J27">
        <v>0</v>
      </c>
      <c r="K27">
        <v>1</v>
      </c>
      <c r="L27">
        <v>1</v>
      </c>
      <c r="M27">
        <v>0.77288800000000002</v>
      </c>
      <c r="N27" t="s">
        <v>70</v>
      </c>
      <c r="O27" t="s">
        <v>250</v>
      </c>
    </row>
    <row r="28" spans="1:15">
      <c r="A28" t="s">
        <v>85</v>
      </c>
      <c r="B28">
        <v>68</v>
      </c>
      <c r="C28">
        <v>8</v>
      </c>
      <c r="D28">
        <v>7</v>
      </c>
      <c r="E28">
        <v>5.9676999999999998</v>
      </c>
      <c r="F28">
        <v>0.13796</v>
      </c>
      <c r="G28">
        <v>0.28837000000000002</v>
      </c>
      <c r="H28">
        <v>1.025E-2</v>
      </c>
      <c r="I28">
        <v>0</v>
      </c>
      <c r="J28">
        <v>0</v>
      </c>
      <c r="K28">
        <v>1</v>
      </c>
      <c r="L28">
        <v>1</v>
      </c>
      <c r="M28">
        <v>0.80974999999999997</v>
      </c>
      <c r="N28" t="s">
        <v>72</v>
      </c>
      <c r="O28" t="s">
        <v>251</v>
      </c>
    </row>
    <row r="29" spans="1:15">
      <c r="A29" t="s">
        <v>61</v>
      </c>
      <c r="B29">
        <v>33</v>
      </c>
      <c r="C29">
        <v>29</v>
      </c>
      <c r="D29">
        <v>26</v>
      </c>
      <c r="E29">
        <v>17.477</v>
      </c>
      <c r="F29">
        <v>0.13927</v>
      </c>
      <c r="G29">
        <v>0.21987000000000001</v>
      </c>
      <c r="H29">
        <v>1.0290000000000001E-2</v>
      </c>
      <c r="I29">
        <v>0</v>
      </c>
      <c r="J29">
        <v>0</v>
      </c>
      <c r="K29">
        <v>1</v>
      </c>
      <c r="L29">
        <v>1</v>
      </c>
      <c r="M29">
        <v>0.80974999999999997</v>
      </c>
      <c r="N29" t="s">
        <v>74</v>
      </c>
      <c r="O29" t="s">
        <v>252</v>
      </c>
    </row>
    <row r="30" spans="1:15">
      <c r="A30" t="s">
        <v>10</v>
      </c>
      <c r="B30">
        <v>33</v>
      </c>
      <c r="C30">
        <v>23</v>
      </c>
      <c r="D30">
        <v>17</v>
      </c>
      <c r="E30">
        <v>24.722999999999999</v>
      </c>
      <c r="F30">
        <v>0.15862999999999999</v>
      </c>
      <c r="G30">
        <v>0.22996</v>
      </c>
      <c r="H30">
        <v>1.0911000000000001E-2</v>
      </c>
      <c r="I30">
        <v>100</v>
      </c>
      <c r="J30">
        <v>1</v>
      </c>
      <c r="K30">
        <v>1</v>
      </c>
      <c r="L30">
        <v>1</v>
      </c>
      <c r="M30">
        <v>0.84014699999999998</v>
      </c>
      <c r="N30" t="s">
        <v>76</v>
      </c>
      <c r="O30" t="s">
        <v>253</v>
      </c>
    </row>
    <row r="31" spans="1:15">
      <c r="A31" t="s">
        <v>22</v>
      </c>
      <c r="B31">
        <v>52</v>
      </c>
      <c r="C31">
        <v>28</v>
      </c>
      <c r="D31">
        <v>20</v>
      </c>
      <c r="E31">
        <v>26.855</v>
      </c>
      <c r="F31">
        <v>0.16613</v>
      </c>
      <c r="G31">
        <v>0.23604</v>
      </c>
      <c r="H31">
        <v>1.1162999999999999E-2</v>
      </c>
      <c r="I31">
        <v>100</v>
      </c>
      <c r="J31">
        <v>1</v>
      </c>
      <c r="K31">
        <v>1</v>
      </c>
      <c r="L31">
        <v>1</v>
      </c>
      <c r="M31">
        <v>0.84838800000000003</v>
      </c>
      <c r="N31" t="s">
        <v>78</v>
      </c>
      <c r="O31" t="s">
        <v>254</v>
      </c>
    </row>
    <row r="32" spans="1:15">
      <c r="A32" t="s">
        <v>14</v>
      </c>
      <c r="B32">
        <v>106</v>
      </c>
      <c r="C32">
        <v>30</v>
      </c>
      <c r="D32">
        <v>15</v>
      </c>
      <c r="E32">
        <v>23.870999999999999</v>
      </c>
      <c r="F32">
        <v>0.16878000000000001</v>
      </c>
      <c r="G32">
        <v>0.24415000000000001</v>
      </c>
      <c r="H32">
        <v>1.1253000000000001E-2</v>
      </c>
      <c r="I32">
        <v>0</v>
      </c>
      <c r="J32">
        <v>0</v>
      </c>
      <c r="K32">
        <v>1</v>
      </c>
      <c r="L32">
        <v>1</v>
      </c>
      <c r="M32">
        <v>0.84838800000000003</v>
      </c>
      <c r="N32" t="s">
        <v>80</v>
      </c>
      <c r="O32" t="s">
        <v>255</v>
      </c>
    </row>
    <row r="33" spans="1:15">
      <c r="A33" t="s">
        <v>189</v>
      </c>
      <c r="B33">
        <v>54</v>
      </c>
      <c r="C33">
        <v>26</v>
      </c>
      <c r="D33">
        <v>19</v>
      </c>
      <c r="E33">
        <v>14.067</v>
      </c>
      <c r="F33">
        <v>0.18314</v>
      </c>
      <c r="G33">
        <v>0.28915000000000002</v>
      </c>
      <c r="H33">
        <v>1.1756000000000001E-2</v>
      </c>
      <c r="I33">
        <v>0</v>
      </c>
      <c r="J33">
        <v>0</v>
      </c>
      <c r="K33">
        <v>1</v>
      </c>
      <c r="L33">
        <v>1</v>
      </c>
      <c r="M33">
        <v>0.86994400000000005</v>
      </c>
      <c r="N33" t="s">
        <v>82</v>
      </c>
      <c r="O33" t="s">
        <v>256</v>
      </c>
    </row>
    <row r="34" spans="1:15">
      <c r="A34" t="s">
        <v>11</v>
      </c>
      <c r="B34">
        <v>37</v>
      </c>
      <c r="C34">
        <v>35</v>
      </c>
      <c r="D34">
        <v>33</v>
      </c>
      <c r="E34">
        <v>25.15</v>
      </c>
      <c r="F34">
        <v>0.18751000000000001</v>
      </c>
      <c r="G34">
        <v>0.26504</v>
      </c>
      <c r="H34">
        <v>1.1913999999999999E-2</v>
      </c>
      <c r="I34">
        <v>0</v>
      </c>
      <c r="J34">
        <v>0</v>
      </c>
      <c r="K34">
        <v>1</v>
      </c>
      <c r="L34">
        <v>1</v>
      </c>
      <c r="M34">
        <v>0.86994400000000005</v>
      </c>
      <c r="N34" t="s">
        <v>84</v>
      </c>
      <c r="O34" t="s">
        <v>257</v>
      </c>
    </row>
    <row r="35" spans="1:15">
      <c r="A35" t="s">
        <v>21</v>
      </c>
      <c r="B35">
        <v>45</v>
      </c>
      <c r="C35">
        <v>35</v>
      </c>
      <c r="D35">
        <v>25</v>
      </c>
      <c r="E35">
        <v>29.411999999999999</v>
      </c>
      <c r="F35">
        <v>0.20077</v>
      </c>
      <c r="G35">
        <v>0.27444000000000002</v>
      </c>
      <c r="H35">
        <v>1.2408000000000001E-2</v>
      </c>
      <c r="I35">
        <v>100</v>
      </c>
      <c r="J35">
        <v>1</v>
      </c>
      <c r="K35">
        <v>1</v>
      </c>
      <c r="L35">
        <v>1</v>
      </c>
      <c r="M35">
        <v>0.89337599999999995</v>
      </c>
      <c r="N35" t="s">
        <v>86</v>
      </c>
      <c r="O35" t="s">
        <v>258</v>
      </c>
    </row>
    <row r="36" spans="1:15">
      <c r="A36" t="s">
        <v>59</v>
      </c>
      <c r="B36">
        <v>69</v>
      </c>
      <c r="C36">
        <v>34</v>
      </c>
      <c r="D36">
        <v>23</v>
      </c>
      <c r="E36">
        <v>26.428000000000001</v>
      </c>
      <c r="F36">
        <v>0.20634</v>
      </c>
      <c r="G36">
        <v>0.28563</v>
      </c>
      <c r="H36">
        <v>1.2622E-2</v>
      </c>
      <c r="I36">
        <v>0</v>
      </c>
      <c r="J36">
        <v>0</v>
      </c>
      <c r="K36">
        <v>1</v>
      </c>
      <c r="L36">
        <v>1</v>
      </c>
      <c r="M36">
        <v>0.89616200000000001</v>
      </c>
      <c r="N36" t="s">
        <v>88</v>
      </c>
      <c r="O36" t="s">
        <v>259</v>
      </c>
    </row>
    <row r="37" spans="1:15">
      <c r="A37" t="s">
        <v>67</v>
      </c>
      <c r="B37">
        <v>10</v>
      </c>
      <c r="C37">
        <v>10</v>
      </c>
      <c r="D37">
        <v>10</v>
      </c>
      <c r="E37">
        <v>11.509</v>
      </c>
      <c r="F37">
        <v>0.22742999999999999</v>
      </c>
      <c r="G37">
        <v>0.35865999999999998</v>
      </c>
      <c r="H37">
        <v>1.3468000000000001E-2</v>
      </c>
      <c r="I37">
        <v>100</v>
      </c>
      <c r="J37">
        <v>1</v>
      </c>
      <c r="K37">
        <v>1</v>
      </c>
      <c r="L37">
        <v>1</v>
      </c>
      <c r="M37">
        <v>0.94276000000000004</v>
      </c>
      <c r="N37" t="s">
        <v>90</v>
      </c>
      <c r="O37" t="s">
        <v>260</v>
      </c>
    </row>
    <row r="38" spans="1:15">
      <c r="A38" t="s">
        <v>201</v>
      </c>
      <c r="B38">
        <v>14</v>
      </c>
      <c r="C38">
        <v>7</v>
      </c>
      <c r="D38">
        <v>5</v>
      </c>
      <c r="E38">
        <v>4.6889000000000003</v>
      </c>
      <c r="F38">
        <v>0.23211999999999999</v>
      </c>
      <c r="G38">
        <v>0.44833000000000001</v>
      </c>
      <c r="H38">
        <v>1.3665E-2</v>
      </c>
      <c r="I38">
        <v>0</v>
      </c>
      <c r="J38">
        <v>0</v>
      </c>
      <c r="K38">
        <v>1</v>
      </c>
      <c r="L38">
        <v>1</v>
      </c>
      <c r="M38">
        <v>0.94288499999999997</v>
      </c>
      <c r="N38" t="s">
        <v>92</v>
      </c>
      <c r="O38" t="s">
        <v>261</v>
      </c>
    </row>
    <row r="39" spans="1:15">
      <c r="A39" t="s">
        <v>203</v>
      </c>
      <c r="B39">
        <v>44</v>
      </c>
      <c r="C39">
        <v>8</v>
      </c>
      <c r="D39">
        <v>5</v>
      </c>
      <c r="E39">
        <v>4.6889000000000003</v>
      </c>
      <c r="F39">
        <v>0.23211999999999999</v>
      </c>
      <c r="G39">
        <v>0.44833000000000001</v>
      </c>
      <c r="H39">
        <v>1.3665E-2</v>
      </c>
      <c r="I39">
        <v>0</v>
      </c>
      <c r="J39">
        <v>0</v>
      </c>
      <c r="K39">
        <v>1</v>
      </c>
      <c r="L39">
        <v>1</v>
      </c>
      <c r="M39">
        <v>0.94288499999999997</v>
      </c>
      <c r="N39" t="s">
        <v>94</v>
      </c>
      <c r="O39" t="s">
        <v>262</v>
      </c>
    </row>
    <row r="40" spans="1:15">
      <c r="A40" t="s">
        <v>205</v>
      </c>
      <c r="B40">
        <v>16</v>
      </c>
      <c r="C40">
        <v>8</v>
      </c>
      <c r="D40">
        <v>5</v>
      </c>
      <c r="E40">
        <v>4.6889000000000003</v>
      </c>
      <c r="F40">
        <v>0.23211999999999999</v>
      </c>
      <c r="G40">
        <v>0.44833000000000001</v>
      </c>
      <c r="H40">
        <v>1.3665E-2</v>
      </c>
      <c r="I40">
        <v>0</v>
      </c>
      <c r="J40">
        <v>0</v>
      </c>
      <c r="K40">
        <v>1</v>
      </c>
      <c r="L40">
        <v>1</v>
      </c>
      <c r="M40">
        <v>0.94288499999999997</v>
      </c>
      <c r="N40" t="s">
        <v>96</v>
      </c>
      <c r="O40" t="s">
        <v>261</v>
      </c>
    </row>
    <row r="41" spans="1:15">
      <c r="A41" t="s">
        <v>165</v>
      </c>
      <c r="B41">
        <v>66</v>
      </c>
      <c r="C41">
        <v>7</v>
      </c>
      <c r="D41">
        <v>5</v>
      </c>
      <c r="E41">
        <v>4.6889000000000003</v>
      </c>
      <c r="F41">
        <v>0.23211999999999999</v>
      </c>
      <c r="G41">
        <v>0.44833000000000001</v>
      </c>
      <c r="H41">
        <v>1.3665E-2</v>
      </c>
      <c r="I41">
        <v>0</v>
      </c>
      <c r="J41">
        <v>0</v>
      </c>
      <c r="K41">
        <v>1</v>
      </c>
      <c r="L41">
        <v>1</v>
      </c>
      <c r="M41">
        <v>0.94288499999999997</v>
      </c>
      <c r="N41" t="s">
        <v>98</v>
      </c>
      <c r="O41" t="s">
        <v>263</v>
      </c>
    </row>
    <row r="42" spans="1:15">
      <c r="A42" t="s">
        <v>91</v>
      </c>
      <c r="B42">
        <v>37</v>
      </c>
      <c r="C42">
        <v>6</v>
      </c>
      <c r="D42">
        <v>6</v>
      </c>
      <c r="E42">
        <v>3.8363999999999998</v>
      </c>
      <c r="F42">
        <v>0.25301000000000001</v>
      </c>
      <c r="G42">
        <v>0.50029000000000001</v>
      </c>
      <c r="H42">
        <v>1.4579999999999999E-2</v>
      </c>
      <c r="I42">
        <v>100</v>
      </c>
      <c r="J42">
        <v>1</v>
      </c>
      <c r="K42">
        <v>1</v>
      </c>
      <c r="L42">
        <v>1</v>
      </c>
      <c r="M42">
        <v>0.94769999999999999</v>
      </c>
      <c r="N42" t="s">
        <v>100</v>
      </c>
      <c r="O42" t="s">
        <v>264</v>
      </c>
    </row>
    <row r="43" spans="1:15">
      <c r="A43" t="s">
        <v>191</v>
      </c>
      <c r="B43">
        <v>16</v>
      </c>
      <c r="C43">
        <v>6</v>
      </c>
      <c r="D43">
        <v>4</v>
      </c>
      <c r="E43">
        <v>3.8363999999999998</v>
      </c>
      <c r="F43">
        <v>0.25301000000000001</v>
      </c>
      <c r="G43">
        <v>0.50029000000000001</v>
      </c>
      <c r="H43">
        <v>1.4579999999999999E-2</v>
      </c>
      <c r="I43">
        <v>0</v>
      </c>
      <c r="J43">
        <v>0</v>
      </c>
      <c r="K43">
        <v>1</v>
      </c>
      <c r="L43">
        <v>1</v>
      </c>
      <c r="M43">
        <v>0.94769999999999999</v>
      </c>
      <c r="N43" t="s">
        <v>102</v>
      </c>
      <c r="O43" t="s">
        <v>265</v>
      </c>
    </row>
    <row r="44" spans="1:15">
      <c r="A44" t="s">
        <v>199</v>
      </c>
      <c r="B44">
        <v>27</v>
      </c>
      <c r="C44">
        <v>9</v>
      </c>
      <c r="D44">
        <v>5</v>
      </c>
      <c r="E44">
        <v>3.8363999999999998</v>
      </c>
      <c r="F44">
        <v>0.25301000000000001</v>
      </c>
      <c r="G44">
        <v>0.50029000000000001</v>
      </c>
      <c r="H44">
        <v>1.4579999999999999E-2</v>
      </c>
      <c r="I44">
        <v>0</v>
      </c>
      <c r="J44">
        <v>0</v>
      </c>
      <c r="K44">
        <v>1</v>
      </c>
      <c r="L44">
        <v>1</v>
      </c>
      <c r="M44">
        <v>0.94769999999999999</v>
      </c>
      <c r="N44" t="s">
        <v>104</v>
      </c>
      <c r="O44" t="s">
        <v>266</v>
      </c>
    </row>
    <row r="45" spans="1:15">
      <c r="A45" t="s">
        <v>77</v>
      </c>
      <c r="B45">
        <v>63</v>
      </c>
      <c r="C45">
        <v>19</v>
      </c>
      <c r="D45">
        <v>10</v>
      </c>
      <c r="E45">
        <v>15.772</v>
      </c>
      <c r="F45">
        <v>0.25369999999999998</v>
      </c>
      <c r="G45">
        <v>0.36937999999999999</v>
      </c>
      <c r="H45">
        <v>1.4611000000000001E-2</v>
      </c>
      <c r="I45">
        <v>0</v>
      </c>
      <c r="J45">
        <v>0</v>
      </c>
      <c r="K45">
        <v>1</v>
      </c>
      <c r="L45">
        <v>1</v>
      </c>
      <c r="M45">
        <v>0.94769999999999999</v>
      </c>
      <c r="N45" t="s">
        <v>106</v>
      </c>
      <c r="O45" t="s">
        <v>267</v>
      </c>
    </row>
    <row r="46" spans="1:15">
      <c r="A46" t="s">
        <v>177</v>
      </c>
      <c r="B46">
        <v>16</v>
      </c>
      <c r="C46">
        <v>13</v>
      </c>
      <c r="D46">
        <v>10</v>
      </c>
      <c r="E46">
        <v>8.0990000000000002</v>
      </c>
      <c r="F46">
        <v>0.31111</v>
      </c>
      <c r="G46">
        <v>0.48768</v>
      </c>
      <c r="H46">
        <v>1.7496999999999999E-2</v>
      </c>
      <c r="I46">
        <v>0</v>
      </c>
      <c r="J46">
        <v>0</v>
      </c>
      <c r="K46">
        <v>1</v>
      </c>
      <c r="L46">
        <v>1</v>
      </c>
      <c r="M46">
        <v>1</v>
      </c>
      <c r="N46" t="s">
        <v>108</v>
      </c>
      <c r="O46" t="s">
        <v>268</v>
      </c>
    </row>
    <row r="47" spans="1:15">
      <c r="A47" t="s">
        <v>195</v>
      </c>
      <c r="B47">
        <v>92</v>
      </c>
      <c r="C47">
        <v>42</v>
      </c>
      <c r="D47">
        <v>25</v>
      </c>
      <c r="E47">
        <v>29.838000000000001</v>
      </c>
      <c r="F47">
        <v>0.31211</v>
      </c>
      <c r="G47">
        <v>0.40087</v>
      </c>
      <c r="H47">
        <v>1.7552000000000002E-2</v>
      </c>
      <c r="I47">
        <v>0</v>
      </c>
      <c r="J47">
        <v>0</v>
      </c>
      <c r="K47">
        <v>1</v>
      </c>
      <c r="L47">
        <v>1</v>
      </c>
      <c r="M47">
        <v>1</v>
      </c>
      <c r="N47" t="s">
        <v>110</v>
      </c>
      <c r="O47" t="s">
        <v>269</v>
      </c>
    </row>
    <row r="48" spans="1:15">
      <c r="A48" t="s">
        <v>73</v>
      </c>
      <c r="B48">
        <v>28</v>
      </c>
      <c r="C48">
        <v>23</v>
      </c>
      <c r="D48">
        <v>16</v>
      </c>
      <c r="E48">
        <v>22.591999999999999</v>
      </c>
      <c r="F48">
        <v>0.31806000000000001</v>
      </c>
      <c r="G48">
        <v>0.42164000000000001</v>
      </c>
      <c r="H48">
        <v>1.7887E-2</v>
      </c>
      <c r="I48">
        <v>100</v>
      </c>
      <c r="J48">
        <v>1</v>
      </c>
      <c r="K48">
        <v>1</v>
      </c>
      <c r="L48">
        <v>1</v>
      </c>
      <c r="M48">
        <v>1</v>
      </c>
      <c r="N48" t="s">
        <v>112</v>
      </c>
      <c r="O48" t="s">
        <v>270</v>
      </c>
    </row>
    <row r="49" spans="1:15">
      <c r="A49" t="s">
        <v>179</v>
      </c>
      <c r="B49">
        <v>16</v>
      </c>
      <c r="C49">
        <v>9</v>
      </c>
      <c r="D49">
        <v>7</v>
      </c>
      <c r="E49">
        <v>7.2465000000000002</v>
      </c>
      <c r="F49">
        <v>0.33872999999999998</v>
      </c>
      <c r="G49">
        <v>0.52924000000000004</v>
      </c>
      <c r="H49">
        <v>1.9105E-2</v>
      </c>
      <c r="I49">
        <v>0</v>
      </c>
      <c r="J49">
        <v>0</v>
      </c>
      <c r="K49">
        <v>1</v>
      </c>
      <c r="L49">
        <v>1</v>
      </c>
      <c r="M49">
        <v>1</v>
      </c>
      <c r="N49" t="s">
        <v>114</v>
      </c>
      <c r="O49" t="s">
        <v>271</v>
      </c>
    </row>
    <row r="50" spans="1:15">
      <c r="A50" t="s">
        <v>185</v>
      </c>
      <c r="B50">
        <v>112</v>
      </c>
      <c r="C50">
        <v>79</v>
      </c>
      <c r="D50">
        <v>43</v>
      </c>
      <c r="E50">
        <v>28.132999999999999</v>
      </c>
      <c r="F50">
        <v>0.34610999999999997</v>
      </c>
      <c r="G50">
        <v>0.44063000000000002</v>
      </c>
      <c r="H50">
        <v>1.9562E-2</v>
      </c>
      <c r="I50">
        <v>0</v>
      </c>
      <c r="J50">
        <v>0</v>
      </c>
      <c r="K50">
        <v>1</v>
      </c>
      <c r="L50">
        <v>1</v>
      </c>
      <c r="M50">
        <v>1</v>
      </c>
      <c r="N50" t="s">
        <v>116</v>
      </c>
      <c r="O50" t="s">
        <v>272</v>
      </c>
    </row>
    <row r="51" spans="1:15">
      <c r="A51" t="s">
        <v>93</v>
      </c>
      <c r="B51">
        <v>34</v>
      </c>
      <c r="C51">
        <v>7</v>
      </c>
      <c r="D51">
        <v>6</v>
      </c>
      <c r="E51">
        <v>4.2625999999999999</v>
      </c>
      <c r="F51">
        <v>0.35077999999999998</v>
      </c>
      <c r="G51">
        <v>0.60077000000000003</v>
      </c>
      <c r="H51">
        <v>1.9857E-2</v>
      </c>
      <c r="I51">
        <v>100</v>
      </c>
      <c r="J51">
        <v>1</v>
      </c>
      <c r="K51">
        <v>1</v>
      </c>
      <c r="L51">
        <v>1</v>
      </c>
      <c r="M51">
        <v>1</v>
      </c>
      <c r="N51" t="s">
        <v>118</v>
      </c>
      <c r="O51" t="s">
        <v>273</v>
      </c>
    </row>
    <row r="52" spans="1:15">
      <c r="A52" t="s">
        <v>101</v>
      </c>
      <c r="B52">
        <v>11</v>
      </c>
      <c r="C52">
        <v>7</v>
      </c>
      <c r="D52">
        <v>5</v>
      </c>
      <c r="E52">
        <v>6.3940000000000001</v>
      </c>
      <c r="F52">
        <v>0.37025000000000002</v>
      </c>
      <c r="G52">
        <v>0.57582</v>
      </c>
      <c r="H52">
        <v>2.1144E-2</v>
      </c>
      <c r="I52">
        <v>100</v>
      </c>
      <c r="J52">
        <v>1</v>
      </c>
      <c r="K52">
        <v>1</v>
      </c>
      <c r="L52">
        <v>1</v>
      </c>
      <c r="M52">
        <v>1</v>
      </c>
      <c r="N52" t="s">
        <v>120</v>
      </c>
      <c r="O52" t="s">
        <v>274</v>
      </c>
    </row>
    <row r="53" spans="1:15">
      <c r="A53" t="s">
        <v>97</v>
      </c>
      <c r="B53">
        <v>16</v>
      </c>
      <c r="C53">
        <v>7</v>
      </c>
      <c r="D53">
        <v>7</v>
      </c>
      <c r="E53">
        <v>6.3940000000000001</v>
      </c>
      <c r="F53">
        <v>0.37025000000000002</v>
      </c>
      <c r="G53">
        <v>0.57582</v>
      </c>
      <c r="H53">
        <v>2.1144E-2</v>
      </c>
      <c r="I53">
        <v>0</v>
      </c>
      <c r="J53">
        <v>0</v>
      </c>
      <c r="K53">
        <v>1</v>
      </c>
      <c r="L53">
        <v>1</v>
      </c>
      <c r="M53">
        <v>1</v>
      </c>
      <c r="N53" t="s">
        <v>122</v>
      </c>
      <c r="O53" t="s">
        <v>275</v>
      </c>
    </row>
    <row r="54" spans="1:15">
      <c r="A54" t="s">
        <v>123</v>
      </c>
      <c r="B54">
        <v>107</v>
      </c>
      <c r="C54">
        <v>32</v>
      </c>
      <c r="D54">
        <v>26</v>
      </c>
      <c r="E54">
        <v>25.576000000000001</v>
      </c>
      <c r="F54">
        <v>0.40343000000000001</v>
      </c>
      <c r="G54">
        <v>0.50600000000000001</v>
      </c>
      <c r="H54">
        <v>2.3556000000000001E-2</v>
      </c>
      <c r="I54">
        <v>0</v>
      </c>
      <c r="J54">
        <v>0</v>
      </c>
      <c r="K54">
        <v>1</v>
      </c>
      <c r="L54">
        <v>1</v>
      </c>
      <c r="M54">
        <v>1</v>
      </c>
      <c r="N54" t="s">
        <v>124</v>
      </c>
      <c r="O54" t="s">
        <v>276</v>
      </c>
    </row>
    <row r="55" spans="1:15">
      <c r="A55" t="s">
        <v>99</v>
      </c>
      <c r="B55">
        <v>7</v>
      </c>
      <c r="C55">
        <v>5</v>
      </c>
      <c r="D55">
        <v>3</v>
      </c>
      <c r="E55">
        <v>4.6889000000000003</v>
      </c>
      <c r="F55">
        <v>0.44966</v>
      </c>
      <c r="G55">
        <v>0.68786999999999998</v>
      </c>
      <c r="H55">
        <v>2.7451E-2</v>
      </c>
      <c r="I55">
        <v>0</v>
      </c>
      <c r="J55">
        <v>0</v>
      </c>
      <c r="K55">
        <v>1</v>
      </c>
      <c r="L55">
        <v>1</v>
      </c>
      <c r="M55">
        <v>1</v>
      </c>
      <c r="N55" t="s">
        <v>126</v>
      </c>
      <c r="O55" t="s">
        <v>277</v>
      </c>
    </row>
    <row r="56" spans="1:15">
      <c r="A56" t="s">
        <v>83</v>
      </c>
      <c r="B56">
        <v>36</v>
      </c>
      <c r="C56">
        <v>13</v>
      </c>
      <c r="D56">
        <v>5</v>
      </c>
      <c r="E56">
        <v>6.8201999999999998</v>
      </c>
      <c r="F56">
        <v>0.45175999999999999</v>
      </c>
      <c r="G56">
        <v>0.65120999999999996</v>
      </c>
      <c r="H56">
        <v>2.7644999999999999E-2</v>
      </c>
      <c r="I56">
        <v>0</v>
      </c>
      <c r="J56">
        <v>0</v>
      </c>
      <c r="K56">
        <v>1</v>
      </c>
      <c r="L56">
        <v>1</v>
      </c>
      <c r="M56">
        <v>1</v>
      </c>
      <c r="N56" t="s">
        <v>128</v>
      </c>
      <c r="O56" t="s">
        <v>278</v>
      </c>
    </row>
    <row r="57" spans="1:15">
      <c r="A57" t="s">
        <v>121</v>
      </c>
      <c r="B57">
        <v>20</v>
      </c>
      <c r="C57">
        <v>11</v>
      </c>
      <c r="D57">
        <v>6</v>
      </c>
      <c r="E57">
        <v>8.0990000000000002</v>
      </c>
      <c r="F57">
        <v>0.48942000000000002</v>
      </c>
      <c r="G57">
        <v>0.67093000000000003</v>
      </c>
      <c r="H57">
        <v>3.1394999999999999E-2</v>
      </c>
      <c r="I57">
        <v>84</v>
      </c>
      <c r="J57">
        <v>0.84</v>
      </c>
      <c r="K57">
        <v>1</v>
      </c>
      <c r="L57">
        <v>1</v>
      </c>
      <c r="M57">
        <v>1</v>
      </c>
      <c r="N57" t="s">
        <v>130</v>
      </c>
      <c r="O57" t="s">
        <v>279</v>
      </c>
    </row>
    <row r="58" spans="1:15">
      <c r="A58" t="s">
        <v>95</v>
      </c>
      <c r="B58">
        <v>15</v>
      </c>
      <c r="C58">
        <v>15</v>
      </c>
      <c r="D58">
        <v>11</v>
      </c>
      <c r="E58">
        <v>8.0990000000000002</v>
      </c>
      <c r="F58">
        <v>0.48942000000000002</v>
      </c>
      <c r="G58">
        <v>0.67093000000000003</v>
      </c>
      <c r="H58">
        <v>3.1394999999999999E-2</v>
      </c>
      <c r="I58">
        <v>76</v>
      </c>
      <c r="J58">
        <v>0.76</v>
      </c>
      <c r="K58">
        <v>1</v>
      </c>
      <c r="L58">
        <v>1</v>
      </c>
      <c r="M58">
        <v>1</v>
      </c>
      <c r="N58" t="s">
        <v>132</v>
      </c>
      <c r="O58" t="s">
        <v>280</v>
      </c>
    </row>
    <row r="59" spans="1:15">
      <c r="A59" t="s">
        <v>133</v>
      </c>
      <c r="B59">
        <v>7</v>
      </c>
      <c r="C59">
        <v>4</v>
      </c>
      <c r="D59">
        <v>2</v>
      </c>
      <c r="E59">
        <v>1.7051000000000001</v>
      </c>
      <c r="F59">
        <v>0.51387000000000005</v>
      </c>
      <c r="G59">
        <v>0.86465000000000003</v>
      </c>
      <c r="H59">
        <v>3.4144000000000001E-2</v>
      </c>
      <c r="I59">
        <v>0</v>
      </c>
      <c r="J59">
        <v>0</v>
      </c>
      <c r="K59">
        <v>1</v>
      </c>
      <c r="L59">
        <v>1</v>
      </c>
      <c r="M59">
        <v>1</v>
      </c>
      <c r="N59" t="s">
        <v>134</v>
      </c>
      <c r="O59" t="s">
        <v>281</v>
      </c>
    </row>
    <row r="60" spans="1:15">
      <c r="A60" t="s">
        <v>175</v>
      </c>
      <c r="B60">
        <v>12</v>
      </c>
      <c r="C60">
        <v>7</v>
      </c>
      <c r="D60">
        <v>5</v>
      </c>
      <c r="E60">
        <v>7.2465000000000002</v>
      </c>
      <c r="F60">
        <v>0.53088000000000002</v>
      </c>
      <c r="G60">
        <v>0.71774000000000004</v>
      </c>
      <c r="H60">
        <v>3.6221000000000003E-2</v>
      </c>
      <c r="I60">
        <v>100</v>
      </c>
      <c r="J60">
        <v>1</v>
      </c>
      <c r="K60">
        <v>1</v>
      </c>
      <c r="L60">
        <v>1</v>
      </c>
      <c r="M60">
        <v>1</v>
      </c>
      <c r="N60" t="s">
        <v>136</v>
      </c>
      <c r="O60" t="s">
        <v>282</v>
      </c>
    </row>
    <row r="61" spans="1:15">
      <c r="A61" t="s">
        <v>129</v>
      </c>
      <c r="B61">
        <v>34</v>
      </c>
      <c r="C61">
        <v>7</v>
      </c>
      <c r="D61">
        <v>3</v>
      </c>
      <c r="E61">
        <v>5.1151999999999997</v>
      </c>
      <c r="F61">
        <v>0.54393000000000002</v>
      </c>
      <c r="G61">
        <v>0.76053999999999999</v>
      </c>
      <c r="H61">
        <v>3.7914999999999997E-2</v>
      </c>
      <c r="I61">
        <v>0</v>
      </c>
      <c r="J61">
        <v>0</v>
      </c>
      <c r="K61">
        <v>1</v>
      </c>
      <c r="L61">
        <v>1</v>
      </c>
      <c r="M61">
        <v>1</v>
      </c>
      <c r="N61" t="s">
        <v>138</v>
      </c>
      <c r="O61" t="s">
        <v>283</v>
      </c>
    </row>
    <row r="62" spans="1:15">
      <c r="A62" t="s">
        <v>113</v>
      </c>
      <c r="B62">
        <v>10</v>
      </c>
      <c r="C62">
        <v>6</v>
      </c>
      <c r="D62">
        <v>3</v>
      </c>
      <c r="E62">
        <v>2.9838</v>
      </c>
      <c r="F62">
        <v>0.56638999999999995</v>
      </c>
      <c r="G62">
        <v>0.83270999999999995</v>
      </c>
      <c r="H62">
        <v>4.1051999999999998E-2</v>
      </c>
      <c r="I62">
        <v>100</v>
      </c>
      <c r="J62">
        <v>1</v>
      </c>
      <c r="K62">
        <v>1</v>
      </c>
      <c r="L62">
        <v>1</v>
      </c>
      <c r="M62">
        <v>1</v>
      </c>
      <c r="N62" t="s">
        <v>140</v>
      </c>
      <c r="O62" t="s">
        <v>284</v>
      </c>
    </row>
    <row r="63" spans="1:15">
      <c r="A63" t="s">
        <v>115</v>
      </c>
      <c r="B63">
        <v>6</v>
      </c>
      <c r="C63">
        <v>3</v>
      </c>
      <c r="D63">
        <v>1</v>
      </c>
      <c r="E63">
        <v>2.9838</v>
      </c>
      <c r="F63">
        <v>0.56638999999999995</v>
      </c>
      <c r="G63">
        <v>0.83270999999999995</v>
      </c>
      <c r="H63">
        <v>4.1051999999999998E-2</v>
      </c>
      <c r="I63">
        <v>0</v>
      </c>
      <c r="J63">
        <v>0</v>
      </c>
      <c r="K63">
        <v>1</v>
      </c>
      <c r="L63">
        <v>1</v>
      </c>
      <c r="M63">
        <v>1</v>
      </c>
      <c r="N63" t="s">
        <v>142</v>
      </c>
      <c r="O63" t="s">
        <v>285</v>
      </c>
    </row>
    <row r="64" spans="1:15">
      <c r="A64" t="s">
        <v>141</v>
      </c>
      <c r="B64">
        <v>29</v>
      </c>
      <c r="C64">
        <v>22</v>
      </c>
      <c r="D64">
        <v>17</v>
      </c>
      <c r="E64">
        <v>17.477</v>
      </c>
      <c r="F64">
        <v>0.57745999999999997</v>
      </c>
      <c r="G64">
        <v>0.69642000000000004</v>
      </c>
      <c r="H64">
        <v>4.2712E-2</v>
      </c>
      <c r="I64">
        <v>100</v>
      </c>
      <c r="J64">
        <v>1</v>
      </c>
      <c r="K64">
        <v>1</v>
      </c>
      <c r="L64">
        <v>1</v>
      </c>
      <c r="M64">
        <v>1</v>
      </c>
      <c r="N64" t="s">
        <v>144</v>
      </c>
      <c r="O64" t="s">
        <v>286</v>
      </c>
    </row>
    <row r="65" spans="1:15">
      <c r="A65" t="s">
        <v>173</v>
      </c>
      <c r="B65">
        <v>27</v>
      </c>
      <c r="C65">
        <v>24</v>
      </c>
      <c r="D65">
        <v>14</v>
      </c>
      <c r="E65">
        <v>9.8041</v>
      </c>
      <c r="F65">
        <v>0.58803000000000005</v>
      </c>
      <c r="G65">
        <v>0.74282000000000004</v>
      </c>
      <c r="H65">
        <v>4.4368999999999999E-2</v>
      </c>
      <c r="I65">
        <v>0</v>
      </c>
      <c r="J65">
        <v>0</v>
      </c>
      <c r="K65">
        <v>1</v>
      </c>
      <c r="L65">
        <v>1</v>
      </c>
      <c r="M65">
        <v>1</v>
      </c>
      <c r="N65" t="s">
        <v>146</v>
      </c>
      <c r="O65" t="s">
        <v>287</v>
      </c>
    </row>
    <row r="66" spans="1:15">
      <c r="A66" t="s">
        <v>147</v>
      </c>
      <c r="B66">
        <v>95</v>
      </c>
      <c r="C66">
        <v>54</v>
      </c>
      <c r="D66">
        <v>29</v>
      </c>
      <c r="E66">
        <v>18.756</v>
      </c>
      <c r="F66">
        <v>0.59692999999999996</v>
      </c>
      <c r="G66">
        <v>0.70992</v>
      </c>
      <c r="H66">
        <v>4.5827E-2</v>
      </c>
      <c r="I66">
        <v>0</v>
      </c>
      <c r="J66">
        <v>0</v>
      </c>
      <c r="K66">
        <v>1</v>
      </c>
      <c r="L66">
        <v>1</v>
      </c>
      <c r="M66">
        <v>1</v>
      </c>
      <c r="N66" t="s">
        <v>148</v>
      </c>
      <c r="O66" t="s">
        <v>288</v>
      </c>
    </row>
    <row r="67" spans="1:15">
      <c r="A67" t="s">
        <v>109</v>
      </c>
      <c r="B67">
        <v>12</v>
      </c>
      <c r="C67">
        <v>10</v>
      </c>
      <c r="D67">
        <v>6</v>
      </c>
      <c r="E67">
        <v>11.083</v>
      </c>
      <c r="F67">
        <v>0.61136999999999997</v>
      </c>
      <c r="G67">
        <v>0.754</v>
      </c>
      <c r="H67">
        <v>4.8314000000000003E-2</v>
      </c>
      <c r="I67">
        <v>0</v>
      </c>
      <c r="J67">
        <v>0</v>
      </c>
      <c r="K67">
        <v>1</v>
      </c>
      <c r="L67">
        <v>1</v>
      </c>
      <c r="M67">
        <v>1</v>
      </c>
      <c r="N67" t="s">
        <v>150</v>
      </c>
      <c r="O67" t="s">
        <v>289</v>
      </c>
    </row>
    <row r="68" spans="1:15">
      <c r="A68" t="s">
        <v>103</v>
      </c>
      <c r="B68">
        <v>20</v>
      </c>
      <c r="C68">
        <v>18</v>
      </c>
      <c r="D68">
        <v>15</v>
      </c>
      <c r="E68">
        <v>14.493</v>
      </c>
      <c r="F68">
        <v>0.61829999999999996</v>
      </c>
      <c r="G68">
        <v>0.74317999999999995</v>
      </c>
      <c r="H68">
        <v>4.9565999999999999E-2</v>
      </c>
      <c r="I68">
        <v>71</v>
      </c>
      <c r="J68">
        <v>0.71</v>
      </c>
      <c r="K68">
        <v>1</v>
      </c>
      <c r="L68">
        <v>1</v>
      </c>
      <c r="M68">
        <v>1</v>
      </c>
      <c r="N68" t="s">
        <v>152</v>
      </c>
      <c r="O68" t="s">
        <v>290</v>
      </c>
    </row>
    <row r="69" spans="1:15">
      <c r="A69" t="s">
        <v>127</v>
      </c>
      <c r="B69">
        <v>7</v>
      </c>
      <c r="C69">
        <v>6</v>
      </c>
      <c r="D69">
        <v>3</v>
      </c>
      <c r="E69">
        <v>5.5414000000000003</v>
      </c>
      <c r="F69">
        <v>0.62968999999999997</v>
      </c>
      <c r="G69">
        <v>0.81930000000000003</v>
      </c>
      <c r="H69">
        <v>5.1709999999999999E-2</v>
      </c>
      <c r="I69">
        <v>0</v>
      </c>
      <c r="J69">
        <v>0</v>
      </c>
      <c r="K69">
        <v>1</v>
      </c>
      <c r="L69">
        <v>1</v>
      </c>
      <c r="M69">
        <v>1</v>
      </c>
      <c r="N69" t="s">
        <v>154</v>
      </c>
      <c r="O69" t="s">
        <v>291</v>
      </c>
    </row>
    <row r="70" spans="1:15">
      <c r="A70" t="s">
        <v>187</v>
      </c>
      <c r="B70">
        <v>62</v>
      </c>
      <c r="C70">
        <v>19</v>
      </c>
      <c r="D70">
        <v>11</v>
      </c>
      <c r="E70">
        <v>12.362</v>
      </c>
      <c r="F70">
        <v>0.63222999999999996</v>
      </c>
      <c r="G70">
        <v>0.76443000000000005</v>
      </c>
      <c r="H70">
        <v>5.2204E-2</v>
      </c>
      <c r="I70">
        <v>0</v>
      </c>
      <c r="J70">
        <v>0</v>
      </c>
      <c r="K70">
        <v>1</v>
      </c>
      <c r="L70">
        <v>1</v>
      </c>
      <c r="M70">
        <v>1</v>
      </c>
      <c r="N70" t="s">
        <v>156</v>
      </c>
      <c r="O70" t="s">
        <v>292</v>
      </c>
    </row>
    <row r="71" spans="1:15">
      <c r="A71" t="s">
        <v>119</v>
      </c>
      <c r="B71">
        <v>31</v>
      </c>
      <c r="C71">
        <v>22</v>
      </c>
      <c r="D71">
        <v>15</v>
      </c>
      <c r="E71">
        <v>18.329000000000001</v>
      </c>
      <c r="F71">
        <v>0.67027000000000003</v>
      </c>
      <c r="G71">
        <v>0.77451999999999999</v>
      </c>
      <c r="H71">
        <v>6.0331000000000003E-2</v>
      </c>
      <c r="I71">
        <v>76</v>
      </c>
      <c r="J71">
        <v>0.76</v>
      </c>
      <c r="K71">
        <v>1</v>
      </c>
      <c r="L71">
        <v>1</v>
      </c>
      <c r="M71">
        <v>1</v>
      </c>
      <c r="N71" t="s">
        <v>158</v>
      </c>
      <c r="O71" t="s">
        <v>293</v>
      </c>
    </row>
    <row r="72" spans="1:15">
      <c r="A72" t="s">
        <v>117</v>
      </c>
      <c r="B72">
        <v>19</v>
      </c>
      <c r="C72">
        <v>5</v>
      </c>
      <c r="D72">
        <v>2</v>
      </c>
      <c r="E72">
        <v>3.4100999999999999</v>
      </c>
      <c r="F72">
        <v>0.67157999999999995</v>
      </c>
      <c r="G72">
        <v>0.88675999999999999</v>
      </c>
      <c r="H72">
        <v>6.0637999999999997E-2</v>
      </c>
      <c r="I72">
        <v>0</v>
      </c>
      <c r="J72">
        <v>0</v>
      </c>
      <c r="K72">
        <v>1</v>
      </c>
      <c r="L72">
        <v>1</v>
      </c>
      <c r="M72">
        <v>1</v>
      </c>
      <c r="N72" t="s">
        <v>160</v>
      </c>
      <c r="O72" t="s">
        <v>294</v>
      </c>
    </row>
    <row r="73" spans="1:15">
      <c r="A73" t="s">
        <v>213</v>
      </c>
      <c r="B73">
        <v>8</v>
      </c>
      <c r="C73">
        <v>3</v>
      </c>
      <c r="D73">
        <v>2</v>
      </c>
      <c r="E73">
        <v>3.4100999999999999</v>
      </c>
      <c r="F73">
        <v>0.67157999999999995</v>
      </c>
      <c r="G73">
        <v>0.88675999999999999</v>
      </c>
      <c r="H73">
        <v>6.0637999999999997E-2</v>
      </c>
      <c r="I73">
        <v>0</v>
      </c>
      <c r="J73">
        <v>0</v>
      </c>
      <c r="K73">
        <v>1</v>
      </c>
      <c r="L73">
        <v>1</v>
      </c>
      <c r="M73">
        <v>1</v>
      </c>
      <c r="N73" t="s">
        <v>162</v>
      </c>
      <c r="O73" t="s">
        <v>295</v>
      </c>
    </row>
    <row r="74" spans="1:15">
      <c r="A74" t="s">
        <v>125</v>
      </c>
      <c r="B74">
        <v>28</v>
      </c>
      <c r="C74">
        <v>6</v>
      </c>
      <c r="D74">
        <v>2</v>
      </c>
      <c r="E74">
        <v>3.4100999999999999</v>
      </c>
      <c r="F74">
        <v>0.67157999999999995</v>
      </c>
      <c r="G74">
        <v>0.88675999999999999</v>
      </c>
      <c r="H74">
        <v>6.0637999999999997E-2</v>
      </c>
      <c r="I74">
        <v>72</v>
      </c>
      <c r="J74">
        <v>0.72</v>
      </c>
      <c r="K74">
        <v>1</v>
      </c>
      <c r="L74">
        <v>1</v>
      </c>
      <c r="M74">
        <v>1</v>
      </c>
      <c r="N74" t="s">
        <v>164</v>
      </c>
      <c r="O74" t="s">
        <v>296</v>
      </c>
    </row>
    <row r="75" spans="1:15">
      <c r="A75" t="s">
        <v>145</v>
      </c>
      <c r="B75">
        <v>48</v>
      </c>
      <c r="C75">
        <v>18</v>
      </c>
      <c r="D75">
        <v>10</v>
      </c>
      <c r="E75">
        <v>12.788</v>
      </c>
      <c r="F75">
        <v>0.68501000000000001</v>
      </c>
      <c r="G75">
        <v>0.80510999999999999</v>
      </c>
      <c r="H75">
        <v>6.3898999999999997E-2</v>
      </c>
      <c r="I75">
        <v>0</v>
      </c>
      <c r="J75">
        <v>0</v>
      </c>
      <c r="K75">
        <v>1</v>
      </c>
      <c r="L75">
        <v>1</v>
      </c>
      <c r="M75">
        <v>1</v>
      </c>
      <c r="N75" t="s">
        <v>166</v>
      </c>
      <c r="O75" t="s">
        <v>297</v>
      </c>
    </row>
    <row r="76" spans="1:15">
      <c r="A76" t="s">
        <v>217</v>
      </c>
      <c r="B76">
        <v>53</v>
      </c>
      <c r="C76">
        <v>35</v>
      </c>
      <c r="D76">
        <v>26</v>
      </c>
      <c r="E76">
        <v>24.297000000000001</v>
      </c>
      <c r="F76">
        <v>0.70038</v>
      </c>
      <c r="G76">
        <v>0.78713</v>
      </c>
      <c r="H76">
        <v>6.7908999999999997E-2</v>
      </c>
      <c r="I76">
        <v>0</v>
      </c>
      <c r="J76">
        <v>0</v>
      </c>
      <c r="K76">
        <v>1</v>
      </c>
      <c r="L76">
        <v>1</v>
      </c>
      <c r="M76">
        <v>1</v>
      </c>
      <c r="N76" t="s">
        <v>168</v>
      </c>
      <c r="O76" t="s">
        <v>298</v>
      </c>
    </row>
    <row r="77" spans="1:15">
      <c r="A77" t="s">
        <v>143</v>
      </c>
      <c r="B77">
        <v>20</v>
      </c>
      <c r="C77">
        <v>10</v>
      </c>
      <c r="D77">
        <v>7</v>
      </c>
      <c r="E77">
        <v>5.9676999999999998</v>
      </c>
      <c r="F77">
        <v>0.70479999999999998</v>
      </c>
      <c r="G77">
        <v>0.86560999999999999</v>
      </c>
      <c r="H77">
        <v>6.9121000000000002E-2</v>
      </c>
      <c r="I77">
        <v>100</v>
      </c>
      <c r="J77">
        <v>1</v>
      </c>
      <c r="K77">
        <v>1</v>
      </c>
      <c r="L77">
        <v>1</v>
      </c>
      <c r="M77">
        <v>1</v>
      </c>
      <c r="N77" t="s">
        <v>170</v>
      </c>
      <c r="O77" t="s">
        <v>299</v>
      </c>
    </row>
    <row r="78" spans="1:15">
      <c r="A78" t="s">
        <v>155</v>
      </c>
      <c r="B78">
        <v>26</v>
      </c>
      <c r="C78">
        <v>10</v>
      </c>
      <c r="D78">
        <v>4</v>
      </c>
      <c r="E78">
        <v>7.2465000000000002</v>
      </c>
      <c r="F78">
        <v>0.71911999999999998</v>
      </c>
      <c r="G78">
        <v>0.86282999999999999</v>
      </c>
      <c r="H78">
        <v>7.3242000000000002E-2</v>
      </c>
      <c r="I78">
        <v>0</v>
      </c>
      <c r="J78">
        <v>0</v>
      </c>
      <c r="K78">
        <v>1</v>
      </c>
      <c r="L78">
        <v>1</v>
      </c>
      <c r="M78">
        <v>1</v>
      </c>
      <c r="N78" t="s">
        <v>172</v>
      </c>
      <c r="O78" t="s">
        <v>300</v>
      </c>
    </row>
    <row r="79" spans="1:15">
      <c r="A79" t="s">
        <v>169</v>
      </c>
      <c r="B79">
        <v>78</v>
      </c>
      <c r="C79">
        <v>54</v>
      </c>
      <c r="D79">
        <v>40</v>
      </c>
      <c r="E79">
        <v>26.001999999999999</v>
      </c>
      <c r="F79">
        <v>0.74629000000000001</v>
      </c>
      <c r="G79">
        <v>0.8226</v>
      </c>
      <c r="H79">
        <v>8.1978999999999996E-2</v>
      </c>
      <c r="I79">
        <v>0</v>
      </c>
      <c r="J79">
        <v>0</v>
      </c>
      <c r="K79">
        <v>1</v>
      </c>
      <c r="L79">
        <v>1</v>
      </c>
      <c r="M79">
        <v>1</v>
      </c>
      <c r="N79" t="s">
        <v>174</v>
      </c>
      <c r="O79" t="s">
        <v>301</v>
      </c>
    </row>
    <row r="80" spans="1:15">
      <c r="A80" t="s">
        <v>89</v>
      </c>
      <c r="B80">
        <v>9</v>
      </c>
      <c r="C80">
        <v>2</v>
      </c>
      <c r="D80">
        <v>1</v>
      </c>
      <c r="E80">
        <v>1.2787999999999999</v>
      </c>
      <c r="F80">
        <v>0.77727999999999997</v>
      </c>
      <c r="G80">
        <v>1</v>
      </c>
      <c r="H80">
        <v>9.3718999999999997E-2</v>
      </c>
      <c r="I80">
        <v>41</v>
      </c>
      <c r="J80">
        <v>0.41</v>
      </c>
      <c r="K80">
        <v>1</v>
      </c>
      <c r="L80">
        <v>1</v>
      </c>
      <c r="M80">
        <v>1</v>
      </c>
      <c r="N80" t="s">
        <v>176</v>
      </c>
      <c r="O80" t="s">
        <v>302</v>
      </c>
    </row>
    <row r="81" spans="1:15">
      <c r="A81" t="s">
        <v>151</v>
      </c>
      <c r="B81">
        <v>22</v>
      </c>
      <c r="C81">
        <v>18</v>
      </c>
      <c r="D81">
        <v>12</v>
      </c>
      <c r="E81">
        <v>12.788</v>
      </c>
      <c r="F81">
        <v>0.80659000000000003</v>
      </c>
      <c r="G81">
        <v>0.89436000000000004</v>
      </c>
      <c r="H81">
        <v>0.10705000000000001</v>
      </c>
      <c r="I81">
        <v>0</v>
      </c>
      <c r="J81">
        <v>0</v>
      </c>
      <c r="K81">
        <v>1</v>
      </c>
      <c r="L81">
        <v>1</v>
      </c>
      <c r="M81">
        <v>1</v>
      </c>
      <c r="N81" t="s">
        <v>178</v>
      </c>
      <c r="O81" t="s">
        <v>303</v>
      </c>
    </row>
    <row r="82" spans="1:15">
      <c r="A82" t="s">
        <v>131</v>
      </c>
      <c r="B82">
        <v>33</v>
      </c>
      <c r="C82">
        <v>17</v>
      </c>
      <c r="D82">
        <v>6</v>
      </c>
      <c r="E82">
        <v>12.788</v>
      </c>
      <c r="F82">
        <v>0.80659000000000003</v>
      </c>
      <c r="G82">
        <v>0.89436000000000004</v>
      </c>
      <c r="H82">
        <v>0.10705000000000001</v>
      </c>
      <c r="I82">
        <v>0</v>
      </c>
      <c r="J82">
        <v>0</v>
      </c>
      <c r="K82">
        <v>1</v>
      </c>
      <c r="L82">
        <v>1</v>
      </c>
      <c r="M82">
        <v>1</v>
      </c>
      <c r="N82" t="s">
        <v>180</v>
      </c>
      <c r="O82" t="s">
        <v>304</v>
      </c>
    </row>
    <row r="83" spans="1:15">
      <c r="A83" t="s">
        <v>137</v>
      </c>
      <c r="B83">
        <v>35</v>
      </c>
      <c r="C83">
        <v>9</v>
      </c>
      <c r="D83">
        <v>4</v>
      </c>
      <c r="E83">
        <v>5.5414000000000003</v>
      </c>
      <c r="F83">
        <v>0.82023000000000001</v>
      </c>
      <c r="G83">
        <v>0.93677999999999995</v>
      </c>
      <c r="H83">
        <v>0.11418</v>
      </c>
      <c r="I83">
        <v>0</v>
      </c>
      <c r="J83">
        <v>0</v>
      </c>
      <c r="K83">
        <v>1</v>
      </c>
      <c r="L83">
        <v>1</v>
      </c>
      <c r="M83">
        <v>1</v>
      </c>
      <c r="N83" t="s">
        <v>182</v>
      </c>
      <c r="O83" t="s">
        <v>305</v>
      </c>
    </row>
    <row r="84" spans="1:15">
      <c r="A84" t="s">
        <v>157</v>
      </c>
      <c r="B84">
        <v>8</v>
      </c>
      <c r="C84">
        <v>5</v>
      </c>
      <c r="D84">
        <v>4</v>
      </c>
      <c r="E84">
        <v>6.8201999999999998</v>
      </c>
      <c r="F84">
        <v>0.82118999999999998</v>
      </c>
      <c r="G84">
        <v>0.92839000000000005</v>
      </c>
      <c r="H84">
        <v>0.11471000000000001</v>
      </c>
      <c r="I84">
        <v>0</v>
      </c>
      <c r="J84">
        <v>0</v>
      </c>
      <c r="K84">
        <v>1</v>
      </c>
      <c r="L84">
        <v>1</v>
      </c>
      <c r="M84">
        <v>1</v>
      </c>
      <c r="N84" t="s">
        <v>184</v>
      </c>
      <c r="O84" t="s">
        <v>306</v>
      </c>
    </row>
    <row r="85" spans="1:15">
      <c r="A85" t="s">
        <v>171</v>
      </c>
      <c r="B85">
        <v>8</v>
      </c>
      <c r="C85">
        <v>6</v>
      </c>
      <c r="D85">
        <v>3</v>
      </c>
      <c r="E85">
        <v>4.2625999999999999</v>
      </c>
      <c r="F85">
        <v>0.82287999999999994</v>
      </c>
      <c r="G85">
        <v>0.94974999999999998</v>
      </c>
      <c r="H85">
        <v>0.11564000000000001</v>
      </c>
      <c r="I85">
        <v>55</v>
      </c>
      <c r="J85">
        <v>0.55000000000000004</v>
      </c>
      <c r="K85">
        <v>1</v>
      </c>
      <c r="L85">
        <v>1</v>
      </c>
      <c r="M85">
        <v>1</v>
      </c>
      <c r="N85" t="s">
        <v>186</v>
      </c>
      <c r="O85" t="s">
        <v>307</v>
      </c>
    </row>
    <row r="86" spans="1:15">
      <c r="A86" t="s">
        <v>207</v>
      </c>
      <c r="B86">
        <v>110</v>
      </c>
      <c r="C86">
        <v>55</v>
      </c>
      <c r="D86">
        <v>29</v>
      </c>
      <c r="E86">
        <v>30.690999999999999</v>
      </c>
      <c r="F86">
        <v>0.82701000000000002</v>
      </c>
      <c r="G86">
        <v>0.88190999999999997</v>
      </c>
      <c r="H86">
        <v>0.11798</v>
      </c>
      <c r="I86">
        <v>100</v>
      </c>
      <c r="J86">
        <v>1</v>
      </c>
      <c r="K86">
        <v>1</v>
      </c>
      <c r="L86">
        <v>1</v>
      </c>
      <c r="M86">
        <v>1</v>
      </c>
      <c r="N86" t="s">
        <v>188</v>
      </c>
      <c r="O86" t="s">
        <v>308</v>
      </c>
    </row>
    <row r="87" spans="1:15">
      <c r="A87" t="s">
        <v>135</v>
      </c>
      <c r="B87">
        <v>19</v>
      </c>
      <c r="C87">
        <v>4</v>
      </c>
      <c r="D87">
        <v>1</v>
      </c>
      <c r="E87">
        <v>1.7051000000000001</v>
      </c>
      <c r="F87">
        <v>0.86507999999999996</v>
      </c>
      <c r="G87">
        <v>1</v>
      </c>
      <c r="H87">
        <v>0.14330000000000001</v>
      </c>
      <c r="I87">
        <v>0</v>
      </c>
      <c r="J87">
        <v>0</v>
      </c>
      <c r="K87">
        <v>1</v>
      </c>
      <c r="L87">
        <v>1</v>
      </c>
      <c r="M87">
        <v>1</v>
      </c>
      <c r="N87" t="s">
        <v>190</v>
      </c>
      <c r="O87" t="s">
        <v>309</v>
      </c>
    </row>
    <row r="88" spans="1:15">
      <c r="A88" t="s">
        <v>209</v>
      </c>
      <c r="B88">
        <v>46</v>
      </c>
      <c r="C88">
        <v>37</v>
      </c>
      <c r="D88">
        <v>26</v>
      </c>
      <c r="E88">
        <v>31.544</v>
      </c>
      <c r="F88">
        <v>0.86956</v>
      </c>
      <c r="G88">
        <v>0.91373000000000004</v>
      </c>
      <c r="H88">
        <v>0.14682999999999999</v>
      </c>
      <c r="I88">
        <v>100</v>
      </c>
      <c r="J88">
        <v>1</v>
      </c>
      <c r="K88">
        <v>1</v>
      </c>
      <c r="L88">
        <v>1</v>
      </c>
      <c r="M88">
        <v>1</v>
      </c>
      <c r="N88" t="s">
        <v>192</v>
      </c>
      <c r="O88" t="s">
        <v>310</v>
      </c>
    </row>
    <row r="89" spans="1:15">
      <c r="A89" t="s">
        <v>163</v>
      </c>
      <c r="B89">
        <v>41</v>
      </c>
      <c r="C89">
        <v>39</v>
      </c>
      <c r="D89">
        <v>33</v>
      </c>
      <c r="E89">
        <v>26.855</v>
      </c>
      <c r="F89">
        <v>0.87053000000000003</v>
      </c>
      <c r="G89">
        <v>0.91778000000000004</v>
      </c>
      <c r="H89">
        <v>0.14760999999999999</v>
      </c>
      <c r="I89">
        <v>0</v>
      </c>
      <c r="J89">
        <v>0</v>
      </c>
      <c r="K89">
        <v>1</v>
      </c>
      <c r="L89">
        <v>1</v>
      </c>
      <c r="M89">
        <v>1</v>
      </c>
      <c r="N89" t="s">
        <v>194</v>
      </c>
      <c r="O89" t="s">
        <v>311</v>
      </c>
    </row>
    <row r="90" spans="1:15">
      <c r="A90" t="s">
        <v>111</v>
      </c>
      <c r="B90">
        <v>39</v>
      </c>
      <c r="C90">
        <v>15</v>
      </c>
      <c r="D90">
        <v>5</v>
      </c>
      <c r="E90">
        <v>10.23</v>
      </c>
      <c r="F90">
        <v>0.89426000000000005</v>
      </c>
      <c r="G90">
        <v>0.95486000000000004</v>
      </c>
      <c r="H90">
        <v>0.16907</v>
      </c>
      <c r="I90">
        <v>0</v>
      </c>
      <c r="J90">
        <v>0</v>
      </c>
      <c r="K90">
        <v>1</v>
      </c>
      <c r="L90">
        <v>1</v>
      </c>
      <c r="M90">
        <v>1</v>
      </c>
      <c r="N90" t="s">
        <v>196</v>
      </c>
      <c r="O90" t="s">
        <v>312</v>
      </c>
    </row>
    <row r="91" spans="1:15">
      <c r="A91" t="s">
        <v>153</v>
      </c>
      <c r="B91">
        <v>31</v>
      </c>
      <c r="C91">
        <v>17</v>
      </c>
      <c r="D91">
        <v>7</v>
      </c>
      <c r="E91">
        <v>12.788</v>
      </c>
      <c r="F91">
        <v>0.89534000000000002</v>
      </c>
      <c r="G91">
        <v>0.95033000000000001</v>
      </c>
      <c r="H91">
        <v>0.17016999999999999</v>
      </c>
      <c r="I91">
        <v>100</v>
      </c>
      <c r="J91">
        <v>1</v>
      </c>
      <c r="K91">
        <v>1</v>
      </c>
      <c r="L91">
        <v>1</v>
      </c>
      <c r="M91">
        <v>1</v>
      </c>
      <c r="N91" t="s">
        <v>198</v>
      </c>
      <c r="O91" t="s">
        <v>313</v>
      </c>
    </row>
    <row r="92" spans="1:15">
      <c r="A92" t="s">
        <v>193</v>
      </c>
      <c r="B92">
        <v>10</v>
      </c>
      <c r="C92">
        <v>6</v>
      </c>
      <c r="D92">
        <v>3</v>
      </c>
      <c r="E92">
        <v>7.6726999999999999</v>
      </c>
      <c r="F92">
        <v>0.89739000000000002</v>
      </c>
      <c r="G92">
        <v>0.96340000000000003</v>
      </c>
      <c r="H92">
        <v>0.17229</v>
      </c>
      <c r="I92">
        <v>100</v>
      </c>
      <c r="J92">
        <v>1</v>
      </c>
      <c r="K92">
        <v>1</v>
      </c>
      <c r="L92">
        <v>1</v>
      </c>
      <c r="M92">
        <v>1</v>
      </c>
      <c r="N92" t="s">
        <v>200</v>
      </c>
      <c r="O92" t="s">
        <v>314</v>
      </c>
    </row>
    <row r="93" spans="1:15">
      <c r="A93" t="s">
        <v>219</v>
      </c>
      <c r="B93">
        <v>8</v>
      </c>
      <c r="C93">
        <v>4</v>
      </c>
      <c r="D93">
        <v>3</v>
      </c>
      <c r="E93">
        <v>5.1151999999999997</v>
      </c>
      <c r="F93">
        <v>0.91022000000000003</v>
      </c>
      <c r="G93">
        <v>0.97840000000000005</v>
      </c>
      <c r="H93">
        <v>0.18668000000000001</v>
      </c>
      <c r="I93">
        <v>100</v>
      </c>
      <c r="J93">
        <v>1</v>
      </c>
      <c r="K93">
        <v>1</v>
      </c>
      <c r="L93">
        <v>1</v>
      </c>
      <c r="M93">
        <v>1</v>
      </c>
      <c r="N93" t="s">
        <v>202</v>
      </c>
      <c r="O93" t="s">
        <v>315</v>
      </c>
    </row>
    <row r="94" spans="1:15">
      <c r="A94" t="s">
        <v>211</v>
      </c>
      <c r="B94">
        <v>37</v>
      </c>
      <c r="C94">
        <v>26</v>
      </c>
      <c r="D94">
        <v>9</v>
      </c>
      <c r="E94">
        <v>5.1151999999999997</v>
      </c>
      <c r="F94">
        <v>0.91022000000000003</v>
      </c>
      <c r="G94">
        <v>0.97840000000000005</v>
      </c>
      <c r="H94">
        <v>0.18668000000000001</v>
      </c>
      <c r="I94">
        <v>100</v>
      </c>
      <c r="J94">
        <v>1</v>
      </c>
      <c r="K94">
        <v>1</v>
      </c>
      <c r="L94">
        <v>1</v>
      </c>
      <c r="M94">
        <v>1</v>
      </c>
      <c r="N94" t="s">
        <v>204</v>
      </c>
      <c r="O94" t="s">
        <v>316</v>
      </c>
    </row>
    <row r="95" spans="1:15">
      <c r="A95" t="s">
        <v>139</v>
      </c>
      <c r="B95">
        <v>21</v>
      </c>
      <c r="C95">
        <v>4</v>
      </c>
      <c r="D95">
        <v>1</v>
      </c>
      <c r="E95">
        <v>3.8363999999999998</v>
      </c>
      <c r="F95">
        <v>0.92462999999999995</v>
      </c>
      <c r="G95">
        <v>0.98897000000000002</v>
      </c>
      <c r="H95">
        <v>0.20566999999999999</v>
      </c>
      <c r="I95">
        <v>66</v>
      </c>
      <c r="J95">
        <v>0.66</v>
      </c>
      <c r="K95">
        <v>1</v>
      </c>
      <c r="L95">
        <v>1</v>
      </c>
      <c r="M95">
        <v>1</v>
      </c>
      <c r="N95" t="s">
        <v>206</v>
      </c>
      <c r="O95" t="s">
        <v>317</v>
      </c>
    </row>
    <row r="96" spans="1:15">
      <c r="A96" t="s">
        <v>181</v>
      </c>
      <c r="B96">
        <v>33</v>
      </c>
      <c r="C96">
        <v>21</v>
      </c>
      <c r="D96">
        <v>12</v>
      </c>
      <c r="E96">
        <v>13.64</v>
      </c>
      <c r="F96">
        <v>0.93520000000000003</v>
      </c>
      <c r="G96">
        <v>0.97130000000000005</v>
      </c>
      <c r="H96">
        <v>0.22211</v>
      </c>
      <c r="I96">
        <v>0</v>
      </c>
      <c r="J96">
        <v>0</v>
      </c>
      <c r="K96">
        <v>1</v>
      </c>
      <c r="L96">
        <v>1</v>
      </c>
      <c r="M96">
        <v>1</v>
      </c>
      <c r="N96" t="s">
        <v>208</v>
      </c>
      <c r="O96" t="s">
        <v>318</v>
      </c>
    </row>
    <row r="97" spans="1:15">
      <c r="A97" t="s">
        <v>159</v>
      </c>
      <c r="B97">
        <v>5</v>
      </c>
      <c r="C97">
        <v>4</v>
      </c>
      <c r="D97">
        <v>2</v>
      </c>
      <c r="E97">
        <v>5.5414000000000003</v>
      </c>
      <c r="F97">
        <v>0.93720999999999999</v>
      </c>
      <c r="G97">
        <v>0.98597000000000001</v>
      </c>
      <c r="H97">
        <v>0.22553999999999999</v>
      </c>
      <c r="I97">
        <v>0</v>
      </c>
      <c r="J97">
        <v>0</v>
      </c>
      <c r="K97">
        <v>1</v>
      </c>
      <c r="L97">
        <v>1</v>
      </c>
      <c r="M97">
        <v>1</v>
      </c>
      <c r="N97" t="s">
        <v>210</v>
      </c>
      <c r="O97" t="s">
        <v>319</v>
      </c>
    </row>
    <row r="98" spans="1:15">
      <c r="A98" t="s">
        <v>183</v>
      </c>
      <c r="B98">
        <v>160</v>
      </c>
      <c r="C98">
        <v>113</v>
      </c>
      <c r="D98">
        <v>68</v>
      </c>
      <c r="E98">
        <v>92.072999999999993</v>
      </c>
      <c r="F98">
        <v>0.94008999999999998</v>
      </c>
      <c r="G98">
        <v>0.95448</v>
      </c>
      <c r="H98">
        <v>0.23064000000000001</v>
      </c>
      <c r="I98">
        <v>100</v>
      </c>
      <c r="J98">
        <v>1</v>
      </c>
      <c r="K98">
        <v>1</v>
      </c>
      <c r="L98">
        <v>1</v>
      </c>
      <c r="M98">
        <v>1</v>
      </c>
      <c r="N98" t="s">
        <v>212</v>
      </c>
      <c r="O98" t="s">
        <v>320</v>
      </c>
    </row>
    <row r="99" spans="1:15">
      <c r="A99" t="s">
        <v>79</v>
      </c>
      <c r="B99">
        <v>55</v>
      </c>
      <c r="C99">
        <v>13</v>
      </c>
      <c r="D99">
        <v>2</v>
      </c>
      <c r="E99">
        <v>8.5252999999999997</v>
      </c>
      <c r="F99">
        <v>0.94369000000000003</v>
      </c>
      <c r="G99">
        <v>0.98190999999999995</v>
      </c>
      <c r="H99">
        <v>0.23735999999999999</v>
      </c>
      <c r="I99">
        <v>0</v>
      </c>
      <c r="J99">
        <v>0</v>
      </c>
      <c r="K99">
        <v>1</v>
      </c>
      <c r="L99">
        <v>1</v>
      </c>
      <c r="M99">
        <v>1</v>
      </c>
      <c r="N99" t="s">
        <v>214</v>
      </c>
      <c r="O99" t="s">
        <v>321</v>
      </c>
    </row>
    <row r="100" spans="1:15">
      <c r="A100" t="s">
        <v>221</v>
      </c>
      <c r="B100">
        <v>10</v>
      </c>
      <c r="C100">
        <v>7</v>
      </c>
      <c r="D100">
        <v>4</v>
      </c>
      <c r="E100">
        <v>4.6889000000000003</v>
      </c>
      <c r="F100">
        <v>0.96716999999999997</v>
      </c>
      <c r="G100">
        <v>0.99595999999999996</v>
      </c>
      <c r="H100">
        <v>0.29507</v>
      </c>
      <c r="I100">
        <v>100</v>
      </c>
      <c r="J100">
        <v>1</v>
      </c>
      <c r="K100">
        <v>1</v>
      </c>
      <c r="L100">
        <v>1</v>
      </c>
      <c r="M100">
        <v>1</v>
      </c>
      <c r="N100" t="s">
        <v>216</v>
      </c>
      <c r="O100" t="s">
        <v>322</v>
      </c>
    </row>
    <row r="101" spans="1:15">
      <c r="A101" t="s">
        <v>197</v>
      </c>
      <c r="B101">
        <v>7</v>
      </c>
      <c r="C101">
        <v>2</v>
      </c>
      <c r="D101">
        <v>1</v>
      </c>
      <c r="E101">
        <v>2.9838</v>
      </c>
      <c r="F101">
        <v>0.97006000000000003</v>
      </c>
      <c r="G101">
        <v>1</v>
      </c>
      <c r="H101">
        <v>0.30470000000000003</v>
      </c>
      <c r="I101">
        <v>0</v>
      </c>
      <c r="J101">
        <v>0</v>
      </c>
      <c r="K101">
        <v>1</v>
      </c>
      <c r="L101">
        <v>1</v>
      </c>
      <c r="M101">
        <v>1</v>
      </c>
      <c r="N101" t="s">
        <v>218</v>
      </c>
      <c r="O101" t="s">
        <v>323</v>
      </c>
    </row>
    <row r="102" spans="1:15">
      <c r="A102" t="s">
        <v>161</v>
      </c>
      <c r="B102">
        <v>10</v>
      </c>
      <c r="C102">
        <v>8</v>
      </c>
      <c r="D102">
        <v>4</v>
      </c>
      <c r="E102">
        <v>9.8041</v>
      </c>
      <c r="F102">
        <v>0.97862000000000005</v>
      </c>
      <c r="G102">
        <v>0.99402999999999997</v>
      </c>
      <c r="H102">
        <v>0.33917999999999998</v>
      </c>
      <c r="I102">
        <v>100</v>
      </c>
      <c r="J102">
        <v>1</v>
      </c>
      <c r="K102">
        <v>1</v>
      </c>
      <c r="L102">
        <v>1</v>
      </c>
      <c r="M102">
        <v>1</v>
      </c>
      <c r="N102" t="s">
        <v>220</v>
      </c>
      <c r="O102" t="s">
        <v>324</v>
      </c>
    </row>
    <row r="103" spans="1:15">
      <c r="A103" t="s">
        <v>215</v>
      </c>
      <c r="B103">
        <v>94</v>
      </c>
      <c r="C103">
        <v>66</v>
      </c>
      <c r="D103">
        <v>42</v>
      </c>
      <c r="E103">
        <v>63.087000000000003</v>
      </c>
      <c r="F103">
        <v>0.98097000000000001</v>
      </c>
      <c r="G103">
        <v>0.98751999999999995</v>
      </c>
      <c r="H103">
        <v>0.35083999999999999</v>
      </c>
      <c r="I103">
        <v>100</v>
      </c>
      <c r="J103">
        <v>1</v>
      </c>
      <c r="K103">
        <v>1</v>
      </c>
      <c r="L103">
        <v>1</v>
      </c>
      <c r="M103">
        <v>1</v>
      </c>
      <c r="N103" t="s">
        <v>222</v>
      </c>
      <c r="O103" t="s">
        <v>325</v>
      </c>
    </row>
    <row r="104" spans="1:15">
      <c r="A104" t="s">
        <v>326</v>
      </c>
      <c r="B104">
        <v>11</v>
      </c>
      <c r="C104">
        <v>6</v>
      </c>
      <c r="D104">
        <v>1</v>
      </c>
      <c r="E104">
        <v>5.5414000000000003</v>
      </c>
      <c r="F104">
        <v>0.98609000000000002</v>
      </c>
      <c r="G104">
        <v>0.99851999999999996</v>
      </c>
      <c r="H104">
        <v>0.38135999999999998</v>
      </c>
      <c r="I104">
        <v>0</v>
      </c>
      <c r="J104">
        <v>0</v>
      </c>
      <c r="K104">
        <v>1</v>
      </c>
      <c r="L104">
        <v>1</v>
      </c>
      <c r="M104">
        <v>1</v>
      </c>
      <c r="N104" t="s">
        <v>224</v>
      </c>
      <c r="O104" t="s">
        <v>327</v>
      </c>
    </row>
    <row r="105" spans="1:15">
      <c r="A105" t="s">
        <v>223</v>
      </c>
      <c r="B105">
        <v>11</v>
      </c>
      <c r="C105">
        <v>10</v>
      </c>
      <c r="D105">
        <v>3</v>
      </c>
      <c r="E105">
        <v>6.3940000000000001</v>
      </c>
      <c r="F105">
        <v>0.99421999999999999</v>
      </c>
      <c r="G105">
        <v>0.99946000000000002</v>
      </c>
      <c r="H105">
        <v>0.46060000000000001</v>
      </c>
      <c r="I105">
        <v>100</v>
      </c>
      <c r="J105">
        <v>1</v>
      </c>
      <c r="K105">
        <v>1</v>
      </c>
      <c r="L105">
        <v>1</v>
      </c>
      <c r="M105">
        <v>1</v>
      </c>
      <c r="N105" t="s">
        <v>328</v>
      </c>
      <c r="O105" t="s">
        <v>329</v>
      </c>
    </row>
    <row r="106" spans="1:15">
      <c r="A106" t="s">
        <v>330</v>
      </c>
      <c r="B106">
        <v>27</v>
      </c>
      <c r="C106">
        <v>23</v>
      </c>
      <c r="D106">
        <v>2</v>
      </c>
      <c r="E106">
        <v>7.2465000000000002</v>
      </c>
      <c r="F106">
        <v>0.99980999999999998</v>
      </c>
      <c r="G106">
        <v>1</v>
      </c>
      <c r="H106">
        <v>0.68486999999999998</v>
      </c>
      <c r="I106">
        <v>0</v>
      </c>
      <c r="J106">
        <v>0</v>
      </c>
      <c r="K106">
        <v>1</v>
      </c>
      <c r="L106">
        <v>1</v>
      </c>
      <c r="M106">
        <v>1</v>
      </c>
      <c r="N106" t="s">
        <v>331</v>
      </c>
      <c r="O106" t="s">
        <v>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9972-9BFC-7F4A-943C-77A0E65556B1}">
  <dimension ref="A1:O70"/>
  <sheetViews>
    <sheetView workbookViewId="0">
      <selection activeCell="M14" sqref="M14"/>
    </sheetView>
  </sheetViews>
  <sheetFormatPr baseColWidth="10" defaultRowHeight="16"/>
  <sheetData>
    <row r="1" spans="1:15">
      <c r="A1" t="s">
        <v>453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</row>
    <row r="2" spans="1:15">
      <c r="A2" t="s">
        <v>7</v>
      </c>
      <c r="B2">
        <v>15</v>
      </c>
      <c r="C2">
        <v>9</v>
      </c>
      <c r="D2">
        <v>9</v>
      </c>
      <c r="E2">
        <v>10.278</v>
      </c>
      <c r="F2">
        <v>1.0793000000000001E-3</v>
      </c>
      <c r="G2">
        <v>4.0404000000000004E-3</v>
      </c>
      <c r="H2">
        <v>2.8666000000000001E-2</v>
      </c>
      <c r="I2">
        <v>0</v>
      </c>
      <c r="J2">
        <v>0</v>
      </c>
      <c r="K2">
        <v>7.4471700000000002E-2</v>
      </c>
      <c r="L2">
        <v>0.27878760000000002</v>
      </c>
      <c r="M2">
        <v>1</v>
      </c>
      <c r="N2" t="s">
        <v>39</v>
      </c>
      <c r="O2" t="s">
        <v>333</v>
      </c>
    </row>
    <row r="3" spans="1:15">
      <c r="A3" t="s">
        <v>334</v>
      </c>
      <c r="B3">
        <v>15</v>
      </c>
      <c r="C3">
        <v>15</v>
      </c>
      <c r="D3">
        <v>15</v>
      </c>
      <c r="E3">
        <v>14.561</v>
      </c>
      <c r="F3">
        <v>2.2236000000000001E-3</v>
      </c>
      <c r="G3">
        <v>6.1929000000000003E-3</v>
      </c>
      <c r="H3">
        <v>2.8743000000000001E-2</v>
      </c>
      <c r="I3">
        <v>100</v>
      </c>
      <c r="J3">
        <v>1</v>
      </c>
      <c r="K3">
        <v>0.1512048</v>
      </c>
      <c r="L3">
        <v>0.42111720000000002</v>
      </c>
      <c r="M3">
        <v>1</v>
      </c>
      <c r="N3" t="s">
        <v>40</v>
      </c>
      <c r="O3" t="s">
        <v>335</v>
      </c>
    </row>
    <row r="4" spans="1:15">
      <c r="A4" t="s">
        <v>336</v>
      </c>
      <c r="B4">
        <v>19</v>
      </c>
      <c r="C4">
        <v>13</v>
      </c>
      <c r="D4">
        <v>11</v>
      </c>
      <c r="E4">
        <v>11.991</v>
      </c>
      <c r="F4">
        <v>5.1640000000000002E-3</v>
      </c>
      <c r="G4">
        <v>1.4415000000000001E-2</v>
      </c>
      <c r="H4">
        <v>2.8943E-2</v>
      </c>
      <c r="I4">
        <v>60</v>
      </c>
      <c r="J4">
        <v>0.6</v>
      </c>
      <c r="K4">
        <v>0.34598800000000002</v>
      </c>
      <c r="L4">
        <v>0.96580500000000002</v>
      </c>
      <c r="M4">
        <v>1</v>
      </c>
      <c r="N4" t="s">
        <v>41</v>
      </c>
      <c r="O4" t="s">
        <v>337</v>
      </c>
    </row>
    <row r="5" spans="1:15">
      <c r="A5" t="s">
        <v>338</v>
      </c>
      <c r="B5">
        <v>31</v>
      </c>
      <c r="C5">
        <v>15</v>
      </c>
      <c r="D5">
        <v>13</v>
      </c>
      <c r="E5">
        <v>12.42</v>
      </c>
      <c r="F5">
        <v>9.1515999999999993E-3</v>
      </c>
      <c r="G5">
        <v>2.3344E-2</v>
      </c>
      <c r="H5">
        <v>2.9217E-2</v>
      </c>
      <c r="I5">
        <v>100</v>
      </c>
      <c r="J5">
        <v>1</v>
      </c>
      <c r="K5">
        <v>0.60400560000000003</v>
      </c>
      <c r="L5">
        <v>1</v>
      </c>
      <c r="M5">
        <v>1</v>
      </c>
      <c r="N5" t="s">
        <v>42</v>
      </c>
      <c r="O5" t="s">
        <v>339</v>
      </c>
    </row>
    <row r="6" spans="1:15">
      <c r="A6" t="s">
        <v>340</v>
      </c>
      <c r="B6">
        <v>20</v>
      </c>
      <c r="C6">
        <v>12</v>
      </c>
      <c r="D6">
        <v>10</v>
      </c>
      <c r="E6">
        <v>7.7088000000000001</v>
      </c>
      <c r="F6">
        <v>9.5475000000000004E-3</v>
      </c>
      <c r="G6">
        <v>3.0943999999999999E-2</v>
      </c>
      <c r="H6">
        <v>2.9245E-2</v>
      </c>
      <c r="I6">
        <v>100</v>
      </c>
      <c r="J6">
        <v>1</v>
      </c>
      <c r="K6">
        <v>0.62058749999999996</v>
      </c>
      <c r="L6">
        <v>1</v>
      </c>
      <c r="M6">
        <v>1</v>
      </c>
      <c r="N6" t="s">
        <v>43</v>
      </c>
      <c r="O6" t="s">
        <v>341</v>
      </c>
    </row>
    <row r="7" spans="1:15">
      <c r="A7" t="s">
        <v>17</v>
      </c>
      <c r="B7">
        <v>19</v>
      </c>
      <c r="C7">
        <v>10</v>
      </c>
      <c r="D7">
        <v>9</v>
      </c>
      <c r="E7">
        <v>8.5653000000000006</v>
      </c>
      <c r="F7">
        <v>1.0928999999999999E-2</v>
      </c>
      <c r="G7">
        <v>3.2663999999999999E-2</v>
      </c>
      <c r="H7">
        <v>2.9340000000000001E-2</v>
      </c>
      <c r="I7">
        <v>0</v>
      </c>
      <c r="J7">
        <v>0</v>
      </c>
      <c r="K7">
        <v>0.69945599999999997</v>
      </c>
      <c r="L7">
        <v>1</v>
      </c>
      <c r="M7">
        <v>1</v>
      </c>
      <c r="N7" t="s">
        <v>44</v>
      </c>
      <c r="O7" t="s">
        <v>342</v>
      </c>
    </row>
    <row r="8" spans="1:15">
      <c r="A8" t="s">
        <v>343</v>
      </c>
      <c r="B8">
        <v>28</v>
      </c>
      <c r="C8">
        <v>27</v>
      </c>
      <c r="D8">
        <v>22</v>
      </c>
      <c r="E8">
        <v>29.122</v>
      </c>
      <c r="F8">
        <v>1.4156999999999999E-2</v>
      </c>
      <c r="G8">
        <v>2.5217E-2</v>
      </c>
      <c r="H8">
        <v>2.9565000000000001E-2</v>
      </c>
      <c r="I8">
        <v>100</v>
      </c>
      <c r="J8">
        <v>1</v>
      </c>
      <c r="K8">
        <v>0.89189099999999999</v>
      </c>
      <c r="L8">
        <v>1</v>
      </c>
      <c r="M8">
        <v>1</v>
      </c>
      <c r="N8" t="s">
        <v>45</v>
      </c>
      <c r="O8" t="s">
        <v>344</v>
      </c>
    </row>
    <row r="9" spans="1:15">
      <c r="A9" t="s">
        <v>345</v>
      </c>
      <c r="B9">
        <v>21</v>
      </c>
      <c r="C9">
        <v>14</v>
      </c>
      <c r="D9">
        <v>14</v>
      </c>
      <c r="E9">
        <v>14.132999999999999</v>
      </c>
      <c r="F9">
        <v>2.4437E-2</v>
      </c>
      <c r="G9">
        <v>5.2053000000000002E-2</v>
      </c>
      <c r="H9">
        <v>3.0293E-2</v>
      </c>
      <c r="I9">
        <v>100</v>
      </c>
      <c r="J9">
        <v>1</v>
      </c>
      <c r="K9">
        <v>1</v>
      </c>
      <c r="L9">
        <v>1</v>
      </c>
      <c r="M9">
        <v>1</v>
      </c>
      <c r="N9" t="s">
        <v>46</v>
      </c>
      <c r="O9" t="s">
        <v>346</v>
      </c>
    </row>
    <row r="10" spans="1:15">
      <c r="A10" t="s">
        <v>6</v>
      </c>
      <c r="B10">
        <v>39</v>
      </c>
      <c r="C10">
        <v>37</v>
      </c>
      <c r="D10">
        <v>27</v>
      </c>
      <c r="E10">
        <v>35.118000000000002</v>
      </c>
      <c r="F10">
        <v>3.5902999999999997E-2</v>
      </c>
      <c r="G10">
        <v>5.6374E-2</v>
      </c>
      <c r="H10">
        <v>3.1126999999999998E-2</v>
      </c>
      <c r="I10">
        <v>0</v>
      </c>
      <c r="J10">
        <v>0</v>
      </c>
      <c r="K10">
        <v>1</v>
      </c>
      <c r="L10">
        <v>1</v>
      </c>
      <c r="M10">
        <v>1</v>
      </c>
      <c r="N10" t="s">
        <v>47</v>
      </c>
      <c r="O10" t="s">
        <v>347</v>
      </c>
    </row>
    <row r="11" spans="1:15">
      <c r="A11" t="s">
        <v>348</v>
      </c>
      <c r="B11">
        <v>40</v>
      </c>
      <c r="C11">
        <v>33</v>
      </c>
      <c r="D11">
        <v>30</v>
      </c>
      <c r="E11">
        <v>11.135</v>
      </c>
      <c r="F11">
        <v>3.6013000000000003E-2</v>
      </c>
      <c r="G11">
        <v>7.9245999999999997E-2</v>
      </c>
      <c r="H11">
        <v>3.1134999999999999E-2</v>
      </c>
      <c r="I11">
        <v>0</v>
      </c>
      <c r="J11">
        <v>0</v>
      </c>
      <c r="K11">
        <v>1</v>
      </c>
      <c r="L11">
        <v>1</v>
      </c>
      <c r="M11">
        <v>1</v>
      </c>
      <c r="N11" t="s">
        <v>48</v>
      </c>
      <c r="O11" t="s">
        <v>349</v>
      </c>
    </row>
    <row r="12" spans="1:15">
      <c r="A12" t="s">
        <v>350</v>
      </c>
      <c r="B12">
        <v>14</v>
      </c>
      <c r="C12">
        <v>12</v>
      </c>
      <c r="D12">
        <v>12</v>
      </c>
      <c r="E12">
        <v>11.991</v>
      </c>
      <c r="F12">
        <v>3.6384E-2</v>
      </c>
      <c r="G12">
        <v>7.7801999999999996E-2</v>
      </c>
      <c r="H12">
        <v>3.1163E-2</v>
      </c>
      <c r="I12">
        <v>100</v>
      </c>
      <c r="J12">
        <v>1</v>
      </c>
      <c r="K12">
        <v>1</v>
      </c>
      <c r="L12">
        <v>1</v>
      </c>
      <c r="M12">
        <v>1</v>
      </c>
      <c r="N12" t="s">
        <v>49</v>
      </c>
      <c r="O12" t="s">
        <v>351</v>
      </c>
    </row>
    <row r="13" spans="1:15">
      <c r="A13" t="s">
        <v>8</v>
      </c>
      <c r="B13">
        <v>35</v>
      </c>
      <c r="C13">
        <v>14</v>
      </c>
      <c r="D13">
        <v>13</v>
      </c>
      <c r="E13">
        <v>13.704000000000001</v>
      </c>
      <c r="F13">
        <v>3.6535999999999999E-2</v>
      </c>
      <c r="G13">
        <v>7.4521000000000004E-2</v>
      </c>
      <c r="H13">
        <v>3.1174E-2</v>
      </c>
      <c r="I13">
        <v>100</v>
      </c>
      <c r="J13">
        <v>1</v>
      </c>
      <c r="K13">
        <v>1</v>
      </c>
      <c r="L13">
        <v>1</v>
      </c>
      <c r="M13">
        <v>1</v>
      </c>
      <c r="N13" t="s">
        <v>50</v>
      </c>
      <c r="O13" t="s">
        <v>352</v>
      </c>
    </row>
    <row r="14" spans="1:15">
      <c r="A14" t="s">
        <v>9</v>
      </c>
      <c r="B14">
        <v>70</v>
      </c>
      <c r="C14">
        <v>62</v>
      </c>
      <c r="D14">
        <v>45</v>
      </c>
      <c r="E14">
        <v>49.250999999999998</v>
      </c>
      <c r="F14">
        <v>4.0252000000000003E-2</v>
      </c>
      <c r="G14">
        <v>5.8345000000000001E-2</v>
      </c>
      <c r="H14">
        <v>3.1449999999999999E-2</v>
      </c>
      <c r="I14">
        <v>0</v>
      </c>
      <c r="J14">
        <v>0</v>
      </c>
      <c r="K14">
        <v>1</v>
      </c>
      <c r="L14">
        <v>1</v>
      </c>
      <c r="M14">
        <v>1</v>
      </c>
      <c r="N14" t="s">
        <v>51</v>
      </c>
      <c r="O14" t="s">
        <v>353</v>
      </c>
    </row>
    <row r="15" spans="1:15">
      <c r="A15" t="s">
        <v>354</v>
      </c>
      <c r="B15">
        <v>30</v>
      </c>
      <c r="C15">
        <v>22</v>
      </c>
      <c r="D15">
        <v>16</v>
      </c>
      <c r="E15">
        <v>24.411000000000001</v>
      </c>
      <c r="F15">
        <v>4.0280999999999997E-2</v>
      </c>
      <c r="G15">
        <v>6.837E-2</v>
      </c>
      <c r="H15">
        <v>3.1452000000000001E-2</v>
      </c>
      <c r="I15">
        <v>38</v>
      </c>
      <c r="J15">
        <v>0.38</v>
      </c>
      <c r="K15">
        <v>1</v>
      </c>
      <c r="L15">
        <v>1</v>
      </c>
      <c r="M15">
        <v>1</v>
      </c>
      <c r="N15" t="s">
        <v>52</v>
      </c>
      <c r="O15" t="s">
        <v>355</v>
      </c>
    </row>
    <row r="16" spans="1:15">
      <c r="A16" t="s">
        <v>65</v>
      </c>
      <c r="B16">
        <v>6</v>
      </c>
      <c r="C16">
        <v>3</v>
      </c>
      <c r="D16">
        <v>3</v>
      </c>
      <c r="E16">
        <v>2.5695999999999999</v>
      </c>
      <c r="F16">
        <v>5.1989E-2</v>
      </c>
      <c r="G16">
        <v>0.21026</v>
      </c>
      <c r="H16">
        <v>3.2340000000000001E-2</v>
      </c>
      <c r="I16">
        <v>100</v>
      </c>
      <c r="J16">
        <v>1</v>
      </c>
      <c r="K16">
        <v>1</v>
      </c>
      <c r="L16">
        <v>1</v>
      </c>
      <c r="M16">
        <v>1</v>
      </c>
      <c r="N16" t="s">
        <v>53</v>
      </c>
      <c r="O16" t="s">
        <v>356</v>
      </c>
    </row>
    <row r="17" spans="1:15">
      <c r="A17" t="s">
        <v>357</v>
      </c>
      <c r="B17">
        <v>23</v>
      </c>
      <c r="C17">
        <v>19</v>
      </c>
      <c r="D17">
        <v>18</v>
      </c>
      <c r="E17">
        <v>11.563000000000001</v>
      </c>
      <c r="F17">
        <v>5.4621000000000003E-2</v>
      </c>
      <c r="G17">
        <v>0.11107</v>
      </c>
      <c r="H17">
        <v>3.2543000000000002E-2</v>
      </c>
      <c r="I17">
        <v>100</v>
      </c>
      <c r="J17">
        <v>1</v>
      </c>
      <c r="K17">
        <v>1</v>
      </c>
      <c r="L17">
        <v>1</v>
      </c>
      <c r="M17">
        <v>1</v>
      </c>
      <c r="N17" t="s">
        <v>54</v>
      </c>
      <c r="O17" t="s">
        <v>358</v>
      </c>
    </row>
    <row r="18" spans="1:15">
      <c r="A18" t="s">
        <v>11</v>
      </c>
      <c r="B18">
        <v>23</v>
      </c>
      <c r="C18">
        <v>23</v>
      </c>
      <c r="D18">
        <v>23</v>
      </c>
      <c r="E18">
        <v>21.841999999999999</v>
      </c>
      <c r="F18">
        <v>7.7152999999999999E-2</v>
      </c>
      <c r="G18">
        <v>0.12515000000000001</v>
      </c>
      <c r="H18">
        <v>3.4341000000000003E-2</v>
      </c>
      <c r="I18">
        <v>56</v>
      </c>
      <c r="J18">
        <v>0.56000000000000005</v>
      </c>
      <c r="K18">
        <v>1</v>
      </c>
      <c r="L18">
        <v>1</v>
      </c>
      <c r="M18">
        <v>1</v>
      </c>
      <c r="N18" t="s">
        <v>55</v>
      </c>
      <c r="O18" t="s">
        <v>359</v>
      </c>
    </row>
    <row r="19" spans="1:15">
      <c r="A19" t="s">
        <v>360</v>
      </c>
      <c r="B19">
        <v>16</v>
      </c>
      <c r="C19">
        <v>14</v>
      </c>
      <c r="D19">
        <v>12</v>
      </c>
      <c r="E19">
        <v>9.4217999999999993</v>
      </c>
      <c r="F19">
        <v>8.2503999999999994E-2</v>
      </c>
      <c r="G19">
        <v>0.16694000000000001</v>
      </c>
      <c r="H19">
        <v>3.4784000000000002E-2</v>
      </c>
      <c r="I19">
        <v>100</v>
      </c>
      <c r="J19">
        <v>1</v>
      </c>
      <c r="K19">
        <v>1</v>
      </c>
      <c r="L19">
        <v>1</v>
      </c>
      <c r="M19">
        <v>1</v>
      </c>
      <c r="N19" t="s">
        <v>56</v>
      </c>
      <c r="O19" t="s">
        <v>361</v>
      </c>
    </row>
    <row r="20" spans="1:15">
      <c r="A20" t="s">
        <v>362</v>
      </c>
      <c r="B20">
        <v>46</v>
      </c>
      <c r="C20">
        <v>32</v>
      </c>
      <c r="D20">
        <v>30</v>
      </c>
      <c r="E20">
        <v>19.271999999999998</v>
      </c>
      <c r="F20">
        <v>8.5126999999999994E-2</v>
      </c>
      <c r="G20">
        <v>0.14047000000000001</v>
      </c>
      <c r="H20">
        <v>3.5002999999999999E-2</v>
      </c>
      <c r="I20">
        <v>0</v>
      </c>
      <c r="J20">
        <v>0</v>
      </c>
      <c r="K20">
        <v>1</v>
      </c>
      <c r="L20">
        <v>1</v>
      </c>
      <c r="M20">
        <v>1</v>
      </c>
      <c r="N20" t="s">
        <v>57</v>
      </c>
      <c r="O20" t="s">
        <v>363</v>
      </c>
    </row>
    <row r="21" spans="1:15">
      <c r="A21" t="s">
        <v>364</v>
      </c>
      <c r="B21">
        <v>5</v>
      </c>
      <c r="C21">
        <v>3</v>
      </c>
      <c r="D21">
        <v>3</v>
      </c>
      <c r="E21">
        <v>2.1413000000000002</v>
      </c>
      <c r="F21">
        <v>0.1051</v>
      </c>
      <c r="G21">
        <v>0.35560999999999998</v>
      </c>
      <c r="H21">
        <v>3.6721999999999998E-2</v>
      </c>
      <c r="I21">
        <v>0</v>
      </c>
      <c r="J21">
        <v>0</v>
      </c>
      <c r="K21">
        <v>1</v>
      </c>
      <c r="L21">
        <v>1</v>
      </c>
      <c r="M21">
        <v>1</v>
      </c>
      <c r="N21" t="s">
        <v>58</v>
      </c>
      <c r="O21" t="s">
        <v>365</v>
      </c>
    </row>
    <row r="22" spans="1:15">
      <c r="A22" t="s">
        <v>366</v>
      </c>
      <c r="B22">
        <v>18</v>
      </c>
      <c r="C22">
        <v>18</v>
      </c>
      <c r="D22">
        <v>15</v>
      </c>
      <c r="E22">
        <v>11.563000000000001</v>
      </c>
      <c r="F22">
        <v>0.11252</v>
      </c>
      <c r="G22">
        <v>0.20249</v>
      </c>
      <c r="H22">
        <v>3.7384000000000001E-2</v>
      </c>
      <c r="I22">
        <v>5</v>
      </c>
      <c r="J22">
        <v>0.05</v>
      </c>
      <c r="K22">
        <v>1</v>
      </c>
      <c r="L22">
        <v>1</v>
      </c>
      <c r="M22">
        <v>1</v>
      </c>
      <c r="N22" t="s">
        <v>60</v>
      </c>
      <c r="O22" t="s">
        <v>367</v>
      </c>
    </row>
    <row r="23" spans="1:15">
      <c r="A23" t="s">
        <v>368</v>
      </c>
      <c r="B23">
        <v>35</v>
      </c>
      <c r="C23">
        <v>33</v>
      </c>
      <c r="D23">
        <v>25</v>
      </c>
      <c r="E23">
        <v>29.122</v>
      </c>
      <c r="F23">
        <v>0.11554</v>
      </c>
      <c r="G23">
        <v>0.16836999999999999</v>
      </c>
      <c r="H23">
        <v>3.7657000000000003E-2</v>
      </c>
      <c r="I23">
        <v>100</v>
      </c>
      <c r="J23">
        <v>1</v>
      </c>
      <c r="K23">
        <v>1</v>
      </c>
      <c r="L23">
        <v>1</v>
      </c>
      <c r="M23">
        <v>1</v>
      </c>
      <c r="N23" t="s">
        <v>62</v>
      </c>
      <c r="O23" t="s">
        <v>369</v>
      </c>
    </row>
    <row r="24" spans="1:15">
      <c r="A24" t="s">
        <v>370</v>
      </c>
      <c r="B24">
        <v>8</v>
      </c>
      <c r="C24">
        <v>8</v>
      </c>
      <c r="D24">
        <v>7</v>
      </c>
      <c r="E24">
        <v>9.8500999999999994</v>
      </c>
      <c r="F24">
        <v>0.11874</v>
      </c>
      <c r="G24">
        <v>0.22103</v>
      </c>
      <c r="H24">
        <v>3.7948999999999997E-2</v>
      </c>
      <c r="I24">
        <v>100</v>
      </c>
      <c r="J24">
        <v>1</v>
      </c>
      <c r="K24">
        <v>1</v>
      </c>
      <c r="L24">
        <v>1</v>
      </c>
      <c r="M24">
        <v>1</v>
      </c>
      <c r="N24" t="s">
        <v>64</v>
      </c>
      <c r="O24" t="s">
        <v>371</v>
      </c>
    </row>
    <row r="25" spans="1:15">
      <c r="A25" t="s">
        <v>372</v>
      </c>
      <c r="B25">
        <v>11</v>
      </c>
      <c r="C25">
        <v>11</v>
      </c>
      <c r="D25">
        <v>8</v>
      </c>
      <c r="E25">
        <v>8.1370000000000005</v>
      </c>
      <c r="F25">
        <v>0.12435</v>
      </c>
      <c r="G25">
        <v>0.24218999999999999</v>
      </c>
      <c r="H25">
        <v>3.8466E-2</v>
      </c>
      <c r="I25">
        <v>0</v>
      </c>
      <c r="J25">
        <v>0</v>
      </c>
      <c r="K25">
        <v>1</v>
      </c>
      <c r="L25">
        <v>1</v>
      </c>
      <c r="M25">
        <v>1</v>
      </c>
      <c r="N25" t="s">
        <v>66</v>
      </c>
      <c r="O25" t="s">
        <v>373</v>
      </c>
    </row>
    <row r="26" spans="1:15">
      <c r="A26" t="s">
        <v>69</v>
      </c>
      <c r="B26">
        <v>29</v>
      </c>
      <c r="C26">
        <v>10</v>
      </c>
      <c r="D26">
        <v>7</v>
      </c>
      <c r="E26">
        <v>8.1370000000000005</v>
      </c>
      <c r="F26">
        <v>0.12435</v>
      </c>
      <c r="G26">
        <v>0.24218999999999999</v>
      </c>
      <c r="H26">
        <v>3.8466E-2</v>
      </c>
      <c r="I26">
        <v>0</v>
      </c>
      <c r="J26">
        <v>0</v>
      </c>
      <c r="K26">
        <v>1</v>
      </c>
      <c r="L26">
        <v>1</v>
      </c>
      <c r="M26">
        <v>1</v>
      </c>
      <c r="N26" t="s">
        <v>68</v>
      </c>
      <c r="O26" t="s">
        <v>374</v>
      </c>
    </row>
    <row r="27" spans="1:15">
      <c r="A27" t="s">
        <v>375</v>
      </c>
      <c r="B27">
        <v>14</v>
      </c>
      <c r="C27">
        <v>7</v>
      </c>
      <c r="D27">
        <v>6</v>
      </c>
      <c r="E27">
        <v>7.2805</v>
      </c>
      <c r="F27">
        <v>0.12667</v>
      </c>
      <c r="G27">
        <v>0.25397999999999998</v>
      </c>
      <c r="H27">
        <v>3.8682000000000001E-2</v>
      </c>
      <c r="I27">
        <v>0</v>
      </c>
      <c r="J27">
        <v>0</v>
      </c>
      <c r="K27">
        <v>1</v>
      </c>
      <c r="L27">
        <v>1</v>
      </c>
      <c r="M27">
        <v>1</v>
      </c>
      <c r="N27" t="s">
        <v>70</v>
      </c>
      <c r="O27" t="s">
        <v>376</v>
      </c>
    </row>
    <row r="28" spans="1:15">
      <c r="A28" t="s">
        <v>10</v>
      </c>
      <c r="B28">
        <v>16</v>
      </c>
      <c r="C28">
        <v>16</v>
      </c>
      <c r="D28">
        <v>15</v>
      </c>
      <c r="E28">
        <v>21.841999999999999</v>
      </c>
      <c r="F28">
        <v>0.12733</v>
      </c>
      <c r="G28">
        <v>0.1938</v>
      </c>
      <c r="H28">
        <v>3.8744000000000001E-2</v>
      </c>
      <c r="I28">
        <v>100</v>
      </c>
      <c r="J28">
        <v>1</v>
      </c>
      <c r="K28">
        <v>1</v>
      </c>
      <c r="L28">
        <v>1</v>
      </c>
      <c r="M28">
        <v>1</v>
      </c>
      <c r="N28" t="s">
        <v>72</v>
      </c>
      <c r="O28" t="s">
        <v>377</v>
      </c>
    </row>
    <row r="29" spans="1:15">
      <c r="A29" t="s">
        <v>378</v>
      </c>
      <c r="B29">
        <v>39</v>
      </c>
      <c r="C29">
        <v>38</v>
      </c>
      <c r="D29">
        <v>31</v>
      </c>
      <c r="E29">
        <v>25.268000000000001</v>
      </c>
      <c r="F29">
        <v>0.16811000000000001</v>
      </c>
      <c r="G29">
        <v>0.24005000000000001</v>
      </c>
      <c r="H29">
        <v>4.2777000000000003E-2</v>
      </c>
      <c r="I29">
        <v>0</v>
      </c>
      <c r="J29">
        <v>0</v>
      </c>
      <c r="K29">
        <v>1</v>
      </c>
      <c r="L29">
        <v>1</v>
      </c>
      <c r="M29">
        <v>1</v>
      </c>
      <c r="N29" t="s">
        <v>74</v>
      </c>
      <c r="O29" t="s">
        <v>379</v>
      </c>
    </row>
    <row r="30" spans="1:15">
      <c r="A30" t="s">
        <v>380</v>
      </c>
      <c r="B30">
        <v>36</v>
      </c>
      <c r="C30">
        <v>22</v>
      </c>
      <c r="D30">
        <v>10</v>
      </c>
      <c r="E30">
        <v>14.989000000000001</v>
      </c>
      <c r="F30">
        <v>0.17355000000000001</v>
      </c>
      <c r="G30">
        <v>0.27217000000000002</v>
      </c>
      <c r="H30">
        <v>4.3347999999999998E-2</v>
      </c>
      <c r="I30">
        <v>0</v>
      </c>
      <c r="J30">
        <v>0</v>
      </c>
      <c r="K30">
        <v>1</v>
      </c>
      <c r="L30">
        <v>1</v>
      </c>
      <c r="M30">
        <v>1</v>
      </c>
      <c r="N30" t="s">
        <v>76</v>
      </c>
      <c r="O30" t="s">
        <v>381</v>
      </c>
    </row>
    <row r="31" spans="1:15">
      <c r="A31" t="s">
        <v>382</v>
      </c>
      <c r="B31">
        <v>33</v>
      </c>
      <c r="C31">
        <v>30</v>
      </c>
      <c r="D31">
        <v>18</v>
      </c>
      <c r="E31">
        <v>31.263000000000002</v>
      </c>
      <c r="F31">
        <v>0.18668000000000001</v>
      </c>
      <c r="G31">
        <v>0.25418000000000002</v>
      </c>
      <c r="H31">
        <v>4.4762999999999997E-2</v>
      </c>
      <c r="I31">
        <v>100</v>
      </c>
      <c r="J31">
        <v>1</v>
      </c>
      <c r="K31">
        <v>1</v>
      </c>
      <c r="L31">
        <v>1</v>
      </c>
      <c r="M31">
        <v>1</v>
      </c>
      <c r="N31" t="s">
        <v>78</v>
      </c>
      <c r="O31" t="s">
        <v>383</v>
      </c>
    </row>
    <row r="32" spans="1:15">
      <c r="A32" t="s">
        <v>384</v>
      </c>
      <c r="B32">
        <v>8</v>
      </c>
      <c r="C32">
        <v>6</v>
      </c>
      <c r="D32">
        <v>6</v>
      </c>
      <c r="E32">
        <v>6.8521999999999998</v>
      </c>
      <c r="F32">
        <v>0.18748999999999999</v>
      </c>
      <c r="G32">
        <v>0.34761999999999998</v>
      </c>
      <c r="H32">
        <v>4.4852000000000003E-2</v>
      </c>
      <c r="I32">
        <v>100</v>
      </c>
      <c r="J32">
        <v>1</v>
      </c>
      <c r="K32">
        <v>1</v>
      </c>
      <c r="L32">
        <v>1</v>
      </c>
      <c r="M32">
        <v>1</v>
      </c>
      <c r="N32" t="s">
        <v>80</v>
      </c>
      <c r="O32" t="s">
        <v>385</v>
      </c>
    </row>
    <row r="33" spans="1:15">
      <c r="A33" t="s">
        <v>87</v>
      </c>
      <c r="B33">
        <v>43</v>
      </c>
      <c r="C33">
        <v>43</v>
      </c>
      <c r="D33">
        <v>43</v>
      </c>
      <c r="E33">
        <v>17.131</v>
      </c>
      <c r="F33">
        <v>0.19888</v>
      </c>
      <c r="G33">
        <v>0.29688999999999999</v>
      </c>
      <c r="H33">
        <v>4.6122999999999997E-2</v>
      </c>
      <c r="I33">
        <v>0</v>
      </c>
      <c r="J33">
        <v>0</v>
      </c>
      <c r="K33">
        <v>1</v>
      </c>
      <c r="L33">
        <v>1</v>
      </c>
      <c r="M33">
        <v>1</v>
      </c>
      <c r="N33" t="s">
        <v>82</v>
      </c>
      <c r="O33" t="s">
        <v>386</v>
      </c>
    </row>
    <row r="34" spans="1:15">
      <c r="A34" t="s">
        <v>387</v>
      </c>
      <c r="B34">
        <v>7</v>
      </c>
      <c r="C34">
        <v>6</v>
      </c>
      <c r="D34">
        <v>6</v>
      </c>
      <c r="E34">
        <v>5.1391999999999998</v>
      </c>
      <c r="F34">
        <v>0.19999</v>
      </c>
      <c r="G34">
        <v>0.39363999999999999</v>
      </c>
      <c r="H34">
        <v>4.6248999999999998E-2</v>
      </c>
      <c r="I34">
        <v>100</v>
      </c>
      <c r="J34">
        <v>1</v>
      </c>
      <c r="K34">
        <v>1</v>
      </c>
      <c r="L34">
        <v>1</v>
      </c>
      <c r="M34">
        <v>1</v>
      </c>
      <c r="N34" t="s">
        <v>84</v>
      </c>
      <c r="O34" t="s">
        <v>388</v>
      </c>
    </row>
    <row r="35" spans="1:15">
      <c r="A35" t="s">
        <v>389</v>
      </c>
      <c r="B35">
        <v>4</v>
      </c>
      <c r="C35">
        <v>3</v>
      </c>
      <c r="D35">
        <v>2</v>
      </c>
      <c r="E35">
        <v>3.4260999999999999</v>
      </c>
      <c r="F35">
        <v>0.20985999999999999</v>
      </c>
      <c r="G35">
        <v>0.45691999999999999</v>
      </c>
      <c r="H35">
        <v>4.7385999999999998E-2</v>
      </c>
      <c r="I35">
        <v>100</v>
      </c>
      <c r="J35">
        <v>1</v>
      </c>
      <c r="K35">
        <v>1</v>
      </c>
      <c r="L35">
        <v>1</v>
      </c>
      <c r="M35">
        <v>1</v>
      </c>
      <c r="N35" t="s">
        <v>86</v>
      </c>
      <c r="O35" t="s">
        <v>390</v>
      </c>
    </row>
    <row r="36" spans="1:15">
      <c r="A36" t="s">
        <v>61</v>
      </c>
      <c r="B36">
        <v>20</v>
      </c>
      <c r="C36">
        <v>19</v>
      </c>
      <c r="D36">
        <v>18</v>
      </c>
      <c r="E36">
        <v>12.848000000000001</v>
      </c>
      <c r="F36">
        <v>0.24654000000000001</v>
      </c>
      <c r="G36">
        <v>0.37315999999999999</v>
      </c>
      <c r="H36">
        <v>5.1888999999999998E-2</v>
      </c>
      <c r="I36">
        <v>100</v>
      </c>
      <c r="J36">
        <v>1</v>
      </c>
      <c r="K36">
        <v>1</v>
      </c>
      <c r="L36">
        <v>1</v>
      </c>
      <c r="M36">
        <v>1</v>
      </c>
      <c r="N36" t="s">
        <v>88</v>
      </c>
      <c r="O36" t="s">
        <v>391</v>
      </c>
    </row>
    <row r="37" spans="1:15">
      <c r="A37" t="s">
        <v>392</v>
      </c>
      <c r="B37">
        <v>87</v>
      </c>
      <c r="C37">
        <v>77</v>
      </c>
      <c r="D37">
        <v>45</v>
      </c>
      <c r="E37">
        <v>26.981000000000002</v>
      </c>
      <c r="F37">
        <v>0.31036000000000002</v>
      </c>
      <c r="G37">
        <v>0.40249000000000001</v>
      </c>
      <c r="H37">
        <v>6.0904E-2</v>
      </c>
      <c r="I37">
        <v>0</v>
      </c>
      <c r="J37">
        <v>0</v>
      </c>
      <c r="K37">
        <v>1</v>
      </c>
      <c r="L37">
        <v>1</v>
      </c>
      <c r="M37">
        <v>1</v>
      </c>
      <c r="N37" t="s">
        <v>90</v>
      </c>
      <c r="O37" t="s">
        <v>393</v>
      </c>
    </row>
    <row r="38" spans="1:15">
      <c r="A38" t="s">
        <v>394</v>
      </c>
      <c r="B38">
        <v>16</v>
      </c>
      <c r="C38">
        <v>16</v>
      </c>
      <c r="D38">
        <v>14</v>
      </c>
      <c r="E38">
        <v>6.8521999999999998</v>
      </c>
      <c r="F38">
        <v>0.34977999999999998</v>
      </c>
      <c r="G38">
        <v>0.54500999999999999</v>
      </c>
      <c r="H38">
        <v>6.7343E-2</v>
      </c>
      <c r="I38">
        <v>0</v>
      </c>
      <c r="J38">
        <v>0</v>
      </c>
      <c r="K38">
        <v>1</v>
      </c>
      <c r="L38">
        <v>1</v>
      </c>
      <c r="M38">
        <v>1</v>
      </c>
      <c r="N38" t="s">
        <v>92</v>
      </c>
      <c r="O38" t="s">
        <v>395</v>
      </c>
    </row>
    <row r="39" spans="1:15">
      <c r="A39" t="s">
        <v>396</v>
      </c>
      <c r="B39">
        <v>9</v>
      </c>
      <c r="C39">
        <v>9</v>
      </c>
      <c r="D39">
        <v>7</v>
      </c>
      <c r="E39">
        <v>8.1370000000000005</v>
      </c>
      <c r="F39">
        <v>0.40862999999999999</v>
      </c>
      <c r="G39">
        <v>0.59026000000000001</v>
      </c>
      <c r="H39">
        <v>7.8439999999999996E-2</v>
      </c>
      <c r="I39">
        <v>100</v>
      </c>
      <c r="J39">
        <v>1</v>
      </c>
      <c r="K39">
        <v>1</v>
      </c>
      <c r="L39">
        <v>1</v>
      </c>
      <c r="M39">
        <v>1</v>
      </c>
      <c r="N39" t="s">
        <v>94</v>
      </c>
      <c r="O39" t="s">
        <v>397</v>
      </c>
    </row>
    <row r="40" spans="1:15">
      <c r="A40" t="s">
        <v>398</v>
      </c>
      <c r="B40">
        <v>8</v>
      </c>
      <c r="C40">
        <v>8</v>
      </c>
      <c r="D40">
        <v>7</v>
      </c>
      <c r="E40">
        <v>6.4240000000000004</v>
      </c>
      <c r="F40">
        <v>0.46089999999999998</v>
      </c>
      <c r="G40">
        <v>0.66327000000000003</v>
      </c>
      <c r="H40">
        <v>9.0087E-2</v>
      </c>
      <c r="I40">
        <v>100</v>
      </c>
      <c r="J40">
        <v>1</v>
      </c>
      <c r="K40">
        <v>1</v>
      </c>
      <c r="L40">
        <v>1</v>
      </c>
      <c r="M40">
        <v>1</v>
      </c>
      <c r="N40" t="s">
        <v>96</v>
      </c>
      <c r="O40" t="s">
        <v>399</v>
      </c>
    </row>
    <row r="41" spans="1:15">
      <c r="A41" t="s">
        <v>400</v>
      </c>
      <c r="B41">
        <v>16</v>
      </c>
      <c r="C41">
        <v>5</v>
      </c>
      <c r="D41">
        <v>4</v>
      </c>
      <c r="E41">
        <v>2.5695999999999999</v>
      </c>
      <c r="F41">
        <v>0.50241000000000002</v>
      </c>
      <c r="G41">
        <v>0.79967999999999995</v>
      </c>
      <c r="H41">
        <v>0.10077999999999999</v>
      </c>
      <c r="I41">
        <v>0</v>
      </c>
      <c r="J41">
        <v>0</v>
      </c>
      <c r="K41">
        <v>1</v>
      </c>
      <c r="L41">
        <v>1</v>
      </c>
      <c r="M41">
        <v>1</v>
      </c>
      <c r="N41" t="s">
        <v>98</v>
      </c>
      <c r="O41" t="s">
        <v>401</v>
      </c>
    </row>
    <row r="42" spans="1:15">
      <c r="A42" t="s">
        <v>402</v>
      </c>
      <c r="B42">
        <v>3</v>
      </c>
      <c r="C42">
        <v>3</v>
      </c>
      <c r="D42">
        <v>3</v>
      </c>
      <c r="E42">
        <v>2.5695999999999999</v>
      </c>
      <c r="F42">
        <v>0.50241000000000002</v>
      </c>
      <c r="G42">
        <v>0.79967999999999995</v>
      </c>
      <c r="H42">
        <v>0.10077999999999999</v>
      </c>
      <c r="I42">
        <v>0</v>
      </c>
      <c r="J42">
        <v>0</v>
      </c>
      <c r="K42">
        <v>1</v>
      </c>
      <c r="L42">
        <v>1</v>
      </c>
      <c r="M42">
        <v>1</v>
      </c>
      <c r="N42" t="s">
        <v>100</v>
      </c>
      <c r="O42" t="s">
        <v>403</v>
      </c>
    </row>
    <row r="43" spans="1:15">
      <c r="A43" t="s">
        <v>404</v>
      </c>
      <c r="B43">
        <v>21</v>
      </c>
      <c r="C43">
        <v>19</v>
      </c>
      <c r="D43">
        <v>15</v>
      </c>
      <c r="E43">
        <v>10.707000000000001</v>
      </c>
      <c r="F43">
        <v>0.50616000000000005</v>
      </c>
      <c r="G43">
        <v>0.66183000000000003</v>
      </c>
      <c r="H43">
        <v>0.10181999999999999</v>
      </c>
      <c r="I43">
        <v>0</v>
      </c>
      <c r="J43">
        <v>0</v>
      </c>
      <c r="K43">
        <v>1</v>
      </c>
      <c r="L43">
        <v>1</v>
      </c>
      <c r="M43">
        <v>1</v>
      </c>
      <c r="N43" t="s">
        <v>102</v>
      </c>
      <c r="O43" t="s">
        <v>405</v>
      </c>
    </row>
    <row r="44" spans="1:15">
      <c r="A44" t="s">
        <v>406</v>
      </c>
      <c r="B44">
        <v>9</v>
      </c>
      <c r="C44">
        <v>7</v>
      </c>
      <c r="D44">
        <v>5</v>
      </c>
      <c r="E44">
        <v>7.7088000000000001</v>
      </c>
      <c r="F44">
        <v>0.51519999999999999</v>
      </c>
      <c r="G44">
        <v>0.69632000000000005</v>
      </c>
      <c r="H44">
        <v>0.10438</v>
      </c>
      <c r="I44">
        <v>100</v>
      </c>
      <c r="J44">
        <v>1</v>
      </c>
      <c r="K44">
        <v>1</v>
      </c>
      <c r="L44">
        <v>1</v>
      </c>
      <c r="M44">
        <v>1</v>
      </c>
      <c r="N44" t="s">
        <v>104</v>
      </c>
      <c r="O44" t="s">
        <v>407</v>
      </c>
    </row>
    <row r="45" spans="1:15">
      <c r="A45" t="s">
        <v>408</v>
      </c>
      <c r="B45">
        <v>12</v>
      </c>
      <c r="C45">
        <v>12</v>
      </c>
      <c r="D45">
        <v>12</v>
      </c>
      <c r="E45">
        <v>6.8521999999999998</v>
      </c>
      <c r="F45">
        <v>0.54732000000000003</v>
      </c>
      <c r="G45">
        <v>0.73421999999999998</v>
      </c>
      <c r="H45">
        <v>0.11409</v>
      </c>
      <c r="I45">
        <v>0</v>
      </c>
      <c r="J45">
        <v>0</v>
      </c>
      <c r="K45">
        <v>1</v>
      </c>
      <c r="L45">
        <v>1</v>
      </c>
      <c r="M45">
        <v>1</v>
      </c>
      <c r="N45" t="s">
        <v>106</v>
      </c>
      <c r="O45" t="s">
        <v>409</v>
      </c>
    </row>
    <row r="46" spans="1:15">
      <c r="A46" t="s">
        <v>410</v>
      </c>
      <c r="B46">
        <v>4</v>
      </c>
      <c r="C46">
        <v>4</v>
      </c>
      <c r="D46">
        <v>4</v>
      </c>
      <c r="E46">
        <v>5.9957000000000003</v>
      </c>
      <c r="F46">
        <v>0.58355000000000001</v>
      </c>
      <c r="G46">
        <v>0.77515000000000001</v>
      </c>
      <c r="H46">
        <v>0.12639</v>
      </c>
      <c r="I46">
        <v>0</v>
      </c>
      <c r="J46">
        <v>0</v>
      </c>
      <c r="K46">
        <v>1</v>
      </c>
      <c r="L46">
        <v>1</v>
      </c>
      <c r="M46">
        <v>1</v>
      </c>
      <c r="N46" t="s">
        <v>108</v>
      </c>
      <c r="O46" t="s">
        <v>411</v>
      </c>
    </row>
    <row r="47" spans="1:15">
      <c r="A47" t="s">
        <v>412</v>
      </c>
      <c r="B47">
        <v>18</v>
      </c>
      <c r="C47">
        <v>15</v>
      </c>
      <c r="D47">
        <v>11</v>
      </c>
      <c r="E47">
        <v>17.986999999999998</v>
      </c>
      <c r="F47">
        <v>0.65098999999999996</v>
      </c>
      <c r="G47">
        <v>0.75753999999999999</v>
      </c>
      <c r="H47">
        <v>0.15395</v>
      </c>
      <c r="I47">
        <v>99</v>
      </c>
      <c r="J47">
        <v>0.99</v>
      </c>
      <c r="K47">
        <v>1</v>
      </c>
      <c r="L47">
        <v>1</v>
      </c>
      <c r="M47">
        <v>1</v>
      </c>
      <c r="N47" t="s">
        <v>110</v>
      </c>
      <c r="O47" t="s">
        <v>413</v>
      </c>
    </row>
    <row r="48" spans="1:15">
      <c r="A48" t="s">
        <v>414</v>
      </c>
      <c r="B48">
        <v>26</v>
      </c>
      <c r="C48">
        <v>22</v>
      </c>
      <c r="D48">
        <v>11</v>
      </c>
      <c r="E48">
        <v>20.128</v>
      </c>
      <c r="F48">
        <v>0.65595999999999999</v>
      </c>
      <c r="G48">
        <v>0.75624000000000002</v>
      </c>
      <c r="H48">
        <v>0.15626000000000001</v>
      </c>
      <c r="I48">
        <v>0</v>
      </c>
      <c r="J48">
        <v>0</v>
      </c>
      <c r="K48">
        <v>1</v>
      </c>
      <c r="L48">
        <v>1</v>
      </c>
      <c r="M48">
        <v>1</v>
      </c>
      <c r="N48" t="s">
        <v>112</v>
      </c>
      <c r="O48" t="s">
        <v>415</v>
      </c>
    </row>
    <row r="49" spans="1:15">
      <c r="A49" t="s">
        <v>416</v>
      </c>
      <c r="B49">
        <v>12</v>
      </c>
      <c r="C49">
        <v>5</v>
      </c>
      <c r="D49">
        <v>2</v>
      </c>
      <c r="E49">
        <v>4.2827000000000002</v>
      </c>
      <c r="F49">
        <v>0.67318999999999996</v>
      </c>
      <c r="G49">
        <v>0.86626999999999998</v>
      </c>
      <c r="H49">
        <v>0.16464000000000001</v>
      </c>
      <c r="I49">
        <v>0</v>
      </c>
      <c r="J49">
        <v>0</v>
      </c>
      <c r="K49">
        <v>1</v>
      </c>
      <c r="L49">
        <v>1</v>
      </c>
      <c r="M49">
        <v>1</v>
      </c>
      <c r="N49" t="s">
        <v>114</v>
      </c>
      <c r="O49" t="s">
        <v>417</v>
      </c>
    </row>
    <row r="50" spans="1:15">
      <c r="A50" t="s">
        <v>418</v>
      </c>
      <c r="B50">
        <v>26</v>
      </c>
      <c r="C50">
        <v>22</v>
      </c>
      <c r="D50">
        <v>15</v>
      </c>
      <c r="E50">
        <v>11.991</v>
      </c>
      <c r="F50">
        <v>0.69354000000000005</v>
      </c>
      <c r="G50">
        <v>0.81344000000000005</v>
      </c>
      <c r="H50">
        <v>0.17530000000000001</v>
      </c>
      <c r="I50">
        <v>0</v>
      </c>
      <c r="J50">
        <v>0</v>
      </c>
      <c r="K50">
        <v>1</v>
      </c>
      <c r="L50">
        <v>1</v>
      </c>
      <c r="M50">
        <v>1</v>
      </c>
      <c r="N50" t="s">
        <v>116</v>
      </c>
      <c r="O50" t="s">
        <v>419</v>
      </c>
    </row>
    <row r="51" spans="1:15">
      <c r="A51" t="s">
        <v>420</v>
      </c>
      <c r="B51">
        <v>21</v>
      </c>
      <c r="C51">
        <v>14</v>
      </c>
      <c r="D51">
        <v>10</v>
      </c>
      <c r="E51">
        <v>16.274000000000001</v>
      </c>
      <c r="F51">
        <v>0.69538999999999995</v>
      </c>
      <c r="G51">
        <v>0.79934000000000005</v>
      </c>
      <c r="H51">
        <v>0.17632</v>
      </c>
      <c r="I51">
        <v>100</v>
      </c>
      <c r="J51">
        <v>1</v>
      </c>
      <c r="K51">
        <v>1</v>
      </c>
      <c r="L51">
        <v>1</v>
      </c>
      <c r="M51">
        <v>1</v>
      </c>
      <c r="N51" t="s">
        <v>118</v>
      </c>
      <c r="O51" t="s">
        <v>421</v>
      </c>
    </row>
    <row r="52" spans="1:15">
      <c r="A52" t="s">
        <v>422</v>
      </c>
      <c r="B52">
        <v>8</v>
      </c>
      <c r="C52">
        <v>5</v>
      </c>
      <c r="D52">
        <v>2</v>
      </c>
      <c r="E52">
        <v>3.4260999999999999</v>
      </c>
      <c r="F52">
        <v>0.73053999999999997</v>
      </c>
      <c r="G52">
        <v>0.91524000000000005</v>
      </c>
      <c r="H52">
        <v>0.19714000000000001</v>
      </c>
      <c r="I52">
        <v>0</v>
      </c>
      <c r="J52">
        <v>0</v>
      </c>
      <c r="K52">
        <v>1</v>
      </c>
      <c r="L52">
        <v>1</v>
      </c>
      <c r="M52">
        <v>1</v>
      </c>
      <c r="N52" t="s">
        <v>120</v>
      </c>
      <c r="O52" t="s">
        <v>423</v>
      </c>
    </row>
    <row r="53" spans="1:15">
      <c r="A53" t="s">
        <v>424</v>
      </c>
      <c r="B53">
        <v>15</v>
      </c>
      <c r="C53">
        <v>14</v>
      </c>
      <c r="D53">
        <v>8</v>
      </c>
      <c r="E53">
        <v>12.848000000000001</v>
      </c>
      <c r="F53">
        <v>0.79069999999999996</v>
      </c>
      <c r="G53">
        <v>0.88178000000000001</v>
      </c>
      <c r="H53">
        <v>0.24138999999999999</v>
      </c>
      <c r="I53">
        <v>100</v>
      </c>
      <c r="J53">
        <v>1</v>
      </c>
      <c r="K53">
        <v>1</v>
      </c>
      <c r="L53">
        <v>1</v>
      </c>
      <c r="M53">
        <v>1</v>
      </c>
      <c r="N53" t="s">
        <v>122</v>
      </c>
      <c r="O53" t="s">
        <v>425</v>
      </c>
    </row>
    <row r="54" spans="1:15">
      <c r="A54" t="s">
        <v>426</v>
      </c>
      <c r="B54">
        <v>4</v>
      </c>
      <c r="C54">
        <v>2</v>
      </c>
      <c r="D54">
        <v>1</v>
      </c>
      <c r="E54">
        <v>2.5695999999999999</v>
      </c>
      <c r="F54">
        <v>0.80067999999999995</v>
      </c>
      <c r="G54">
        <v>0.96292999999999995</v>
      </c>
      <c r="H54">
        <v>0.25007000000000001</v>
      </c>
      <c r="I54">
        <v>100</v>
      </c>
      <c r="J54">
        <v>1</v>
      </c>
      <c r="K54">
        <v>1</v>
      </c>
      <c r="L54">
        <v>1</v>
      </c>
      <c r="M54">
        <v>1</v>
      </c>
      <c r="N54" t="s">
        <v>124</v>
      </c>
      <c r="O54" t="s">
        <v>427</v>
      </c>
    </row>
    <row r="55" spans="1:15">
      <c r="A55" t="s">
        <v>153</v>
      </c>
      <c r="B55">
        <v>28</v>
      </c>
      <c r="C55">
        <v>17</v>
      </c>
      <c r="D55">
        <v>8</v>
      </c>
      <c r="E55">
        <v>14.132999999999999</v>
      </c>
      <c r="F55">
        <v>0.80745999999999996</v>
      </c>
      <c r="G55">
        <v>0.88988999999999996</v>
      </c>
      <c r="H55">
        <v>0.25624999999999998</v>
      </c>
      <c r="I55">
        <v>0</v>
      </c>
      <c r="J55">
        <v>0</v>
      </c>
      <c r="K55">
        <v>1</v>
      </c>
      <c r="L55">
        <v>1</v>
      </c>
      <c r="M55">
        <v>1</v>
      </c>
      <c r="N55" t="s">
        <v>126</v>
      </c>
      <c r="O55" t="s">
        <v>428</v>
      </c>
    </row>
    <row r="56" spans="1:15">
      <c r="A56" t="s">
        <v>217</v>
      </c>
      <c r="B56">
        <v>43</v>
      </c>
      <c r="C56">
        <v>30</v>
      </c>
      <c r="D56">
        <v>22</v>
      </c>
      <c r="E56">
        <v>21.841999999999999</v>
      </c>
      <c r="F56">
        <v>0.81015000000000004</v>
      </c>
      <c r="G56">
        <v>0.87739999999999996</v>
      </c>
      <c r="H56">
        <v>0.25874999999999998</v>
      </c>
      <c r="I56">
        <v>86</v>
      </c>
      <c r="J56">
        <v>0.86</v>
      </c>
      <c r="K56">
        <v>1</v>
      </c>
      <c r="L56">
        <v>1</v>
      </c>
      <c r="M56">
        <v>1</v>
      </c>
      <c r="N56" t="s">
        <v>128</v>
      </c>
      <c r="O56" t="s">
        <v>429</v>
      </c>
    </row>
    <row r="57" spans="1:15">
      <c r="A57" t="s">
        <v>18</v>
      </c>
      <c r="B57">
        <v>13</v>
      </c>
      <c r="C57">
        <v>9</v>
      </c>
      <c r="D57">
        <v>7</v>
      </c>
      <c r="E57">
        <v>13.276</v>
      </c>
      <c r="F57">
        <v>0.83001000000000003</v>
      </c>
      <c r="G57">
        <v>0.90739000000000003</v>
      </c>
      <c r="H57">
        <v>0.27849000000000002</v>
      </c>
      <c r="I57">
        <v>100</v>
      </c>
      <c r="J57">
        <v>1</v>
      </c>
      <c r="K57">
        <v>1</v>
      </c>
      <c r="L57">
        <v>1</v>
      </c>
      <c r="M57">
        <v>1</v>
      </c>
      <c r="N57" t="s">
        <v>130</v>
      </c>
      <c r="O57" t="s">
        <v>430</v>
      </c>
    </row>
    <row r="58" spans="1:15">
      <c r="A58" t="s">
        <v>431</v>
      </c>
      <c r="B58">
        <v>35</v>
      </c>
      <c r="C58">
        <v>13</v>
      </c>
      <c r="D58">
        <v>3</v>
      </c>
      <c r="E58">
        <v>6.4240000000000004</v>
      </c>
      <c r="F58">
        <v>0.83248</v>
      </c>
      <c r="G58">
        <v>0.93506999999999996</v>
      </c>
      <c r="H58">
        <v>0.28111000000000003</v>
      </c>
      <c r="I58">
        <v>0</v>
      </c>
      <c r="J58">
        <v>0</v>
      </c>
      <c r="K58">
        <v>1</v>
      </c>
      <c r="L58">
        <v>1</v>
      </c>
      <c r="M58">
        <v>1</v>
      </c>
      <c r="N58" t="s">
        <v>132</v>
      </c>
      <c r="O58" t="s">
        <v>432</v>
      </c>
    </row>
    <row r="59" spans="1:15">
      <c r="A59" t="s">
        <v>433</v>
      </c>
      <c r="B59">
        <v>28</v>
      </c>
      <c r="C59">
        <v>9</v>
      </c>
      <c r="D59">
        <v>2</v>
      </c>
      <c r="E59">
        <v>4.2827000000000002</v>
      </c>
      <c r="F59">
        <v>0.86724000000000001</v>
      </c>
      <c r="G59">
        <v>0.96584000000000003</v>
      </c>
      <c r="H59">
        <v>0.32251999999999997</v>
      </c>
      <c r="I59">
        <v>0</v>
      </c>
      <c r="J59">
        <v>0</v>
      </c>
      <c r="K59">
        <v>1</v>
      </c>
      <c r="L59">
        <v>1</v>
      </c>
      <c r="M59">
        <v>1</v>
      </c>
      <c r="N59" t="s">
        <v>134</v>
      </c>
      <c r="O59" t="s">
        <v>434</v>
      </c>
    </row>
    <row r="60" spans="1:15">
      <c r="A60" t="s">
        <v>435</v>
      </c>
      <c r="B60">
        <v>4</v>
      </c>
      <c r="C60">
        <v>4</v>
      </c>
      <c r="D60">
        <v>3</v>
      </c>
      <c r="E60">
        <v>4.2827000000000002</v>
      </c>
      <c r="F60">
        <v>0.86724000000000001</v>
      </c>
      <c r="G60">
        <v>0.96584000000000003</v>
      </c>
      <c r="H60">
        <v>0.32251999999999997</v>
      </c>
      <c r="I60">
        <v>0</v>
      </c>
      <c r="J60">
        <v>0</v>
      </c>
      <c r="K60">
        <v>1</v>
      </c>
      <c r="L60">
        <v>1</v>
      </c>
      <c r="M60">
        <v>1</v>
      </c>
      <c r="N60" t="s">
        <v>136</v>
      </c>
      <c r="O60" t="s">
        <v>436</v>
      </c>
    </row>
    <row r="61" spans="1:15">
      <c r="A61" t="s">
        <v>437</v>
      </c>
      <c r="B61">
        <v>68</v>
      </c>
      <c r="C61">
        <v>41</v>
      </c>
      <c r="D61">
        <v>26</v>
      </c>
      <c r="E61">
        <v>26.552</v>
      </c>
      <c r="F61">
        <v>0.89234999999999998</v>
      </c>
      <c r="G61">
        <v>0.93279000000000001</v>
      </c>
      <c r="H61">
        <v>0.35931999999999997</v>
      </c>
      <c r="I61">
        <v>98</v>
      </c>
      <c r="J61">
        <v>0.98</v>
      </c>
      <c r="K61">
        <v>1</v>
      </c>
      <c r="L61">
        <v>1</v>
      </c>
      <c r="M61">
        <v>1</v>
      </c>
      <c r="N61" t="s">
        <v>138</v>
      </c>
      <c r="O61" t="s">
        <v>438</v>
      </c>
    </row>
    <row r="62" spans="1:15">
      <c r="A62" t="s">
        <v>439</v>
      </c>
      <c r="B62">
        <v>4</v>
      </c>
      <c r="C62">
        <v>4</v>
      </c>
      <c r="D62">
        <v>2</v>
      </c>
      <c r="E62">
        <v>5.9957000000000003</v>
      </c>
      <c r="F62">
        <v>0.90822000000000003</v>
      </c>
      <c r="G62">
        <v>0.97275</v>
      </c>
      <c r="H62">
        <v>0.38673000000000002</v>
      </c>
      <c r="I62">
        <v>100</v>
      </c>
      <c r="J62">
        <v>1</v>
      </c>
      <c r="K62">
        <v>1</v>
      </c>
      <c r="L62">
        <v>1</v>
      </c>
      <c r="M62">
        <v>1</v>
      </c>
      <c r="N62" t="s">
        <v>140</v>
      </c>
      <c r="O62" t="s">
        <v>440</v>
      </c>
    </row>
    <row r="63" spans="1:15">
      <c r="A63" t="s">
        <v>163</v>
      </c>
      <c r="B63">
        <v>27</v>
      </c>
      <c r="C63">
        <v>26</v>
      </c>
      <c r="D63">
        <v>23</v>
      </c>
      <c r="E63">
        <v>13.276</v>
      </c>
      <c r="F63">
        <v>0.90869999999999995</v>
      </c>
      <c r="G63">
        <v>0.95633000000000001</v>
      </c>
      <c r="H63">
        <v>0.38762999999999997</v>
      </c>
      <c r="I63">
        <v>0</v>
      </c>
      <c r="J63">
        <v>0</v>
      </c>
      <c r="K63">
        <v>1</v>
      </c>
      <c r="L63">
        <v>1</v>
      </c>
      <c r="M63">
        <v>1</v>
      </c>
      <c r="N63" t="s">
        <v>142</v>
      </c>
      <c r="O63" t="s">
        <v>441</v>
      </c>
    </row>
    <row r="64" spans="1:15">
      <c r="A64" t="s">
        <v>442</v>
      </c>
      <c r="B64">
        <v>8</v>
      </c>
      <c r="C64">
        <v>8</v>
      </c>
      <c r="D64">
        <v>5</v>
      </c>
      <c r="E64">
        <v>9.8500999999999994</v>
      </c>
      <c r="F64">
        <v>0.91683000000000003</v>
      </c>
      <c r="G64">
        <v>0.96640000000000004</v>
      </c>
      <c r="H64">
        <v>0.40334999999999999</v>
      </c>
      <c r="I64">
        <v>100</v>
      </c>
      <c r="J64">
        <v>1</v>
      </c>
      <c r="K64">
        <v>1</v>
      </c>
      <c r="L64">
        <v>1</v>
      </c>
      <c r="M64">
        <v>1</v>
      </c>
      <c r="N64" t="s">
        <v>144</v>
      </c>
      <c r="O64" t="s">
        <v>443</v>
      </c>
    </row>
    <row r="65" spans="1:15">
      <c r="A65" t="s">
        <v>444</v>
      </c>
      <c r="B65">
        <v>7</v>
      </c>
      <c r="C65">
        <v>5</v>
      </c>
      <c r="D65">
        <v>2</v>
      </c>
      <c r="E65">
        <v>5.5674999999999999</v>
      </c>
      <c r="F65">
        <v>0.95918000000000003</v>
      </c>
      <c r="G65">
        <v>0.99177000000000004</v>
      </c>
      <c r="H65">
        <v>0.51471999999999996</v>
      </c>
      <c r="I65">
        <v>100</v>
      </c>
      <c r="J65">
        <v>1</v>
      </c>
      <c r="K65">
        <v>1</v>
      </c>
      <c r="L65">
        <v>1</v>
      </c>
      <c r="M65">
        <v>1</v>
      </c>
      <c r="N65" t="s">
        <v>146</v>
      </c>
      <c r="O65" t="s">
        <v>445</v>
      </c>
    </row>
    <row r="66" spans="1:15">
      <c r="A66" t="s">
        <v>215</v>
      </c>
      <c r="B66">
        <v>41</v>
      </c>
      <c r="C66">
        <v>35</v>
      </c>
      <c r="D66">
        <v>23</v>
      </c>
      <c r="E66">
        <v>35.973999999999997</v>
      </c>
      <c r="F66">
        <v>0.96686000000000005</v>
      </c>
      <c r="G66">
        <v>0.98021000000000003</v>
      </c>
      <c r="H66">
        <v>0.54413</v>
      </c>
      <c r="I66">
        <v>100</v>
      </c>
      <c r="J66">
        <v>1</v>
      </c>
      <c r="K66">
        <v>1</v>
      </c>
      <c r="L66">
        <v>1</v>
      </c>
      <c r="M66">
        <v>1</v>
      </c>
      <c r="N66" t="s">
        <v>148</v>
      </c>
      <c r="O66" t="s">
        <v>446</v>
      </c>
    </row>
    <row r="67" spans="1:15">
      <c r="A67" t="s">
        <v>183</v>
      </c>
      <c r="B67">
        <v>42</v>
      </c>
      <c r="C67">
        <v>42</v>
      </c>
      <c r="D67">
        <v>27</v>
      </c>
      <c r="E67">
        <v>40.685000000000002</v>
      </c>
      <c r="F67">
        <v>0.96953</v>
      </c>
      <c r="G67">
        <v>0.98128000000000004</v>
      </c>
      <c r="H67">
        <v>0.55550999999999995</v>
      </c>
      <c r="I67">
        <v>100</v>
      </c>
      <c r="J67">
        <v>1</v>
      </c>
      <c r="K67">
        <v>1</v>
      </c>
      <c r="L67">
        <v>1</v>
      </c>
      <c r="M67">
        <v>1</v>
      </c>
      <c r="N67" t="s">
        <v>150</v>
      </c>
      <c r="O67" t="s">
        <v>447</v>
      </c>
    </row>
    <row r="68" spans="1:15">
      <c r="A68" t="s">
        <v>223</v>
      </c>
      <c r="B68">
        <v>10</v>
      </c>
      <c r="C68">
        <v>10</v>
      </c>
      <c r="D68">
        <v>3</v>
      </c>
      <c r="E68">
        <v>5.5674999999999999</v>
      </c>
      <c r="F68">
        <v>0.99187999999999998</v>
      </c>
      <c r="G68">
        <v>0.99922999999999995</v>
      </c>
      <c r="H68">
        <v>0.70431999999999995</v>
      </c>
      <c r="I68">
        <v>100</v>
      </c>
      <c r="J68">
        <v>1</v>
      </c>
      <c r="K68">
        <v>1</v>
      </c>
      <c r="L68">
        <v>1</v>
      </c>
      <c r="M68">
        <v>1</v>
      </c>
      <c r="N68" t="s">
        <v>152</v>
      </c>
      <c r="O68" t="s">
        <v>448</v>
      </c>
    </row>
    <row r="69" spans="1:15">
      <c r="A69" t="s">
        <v>449</v>
      </c>
      <c r="B69">
        <v>17</v>
      </c>
      <c r="C69">
        <v>9</v>
      </c>
      <c r="D69">
        <v>3</v>
      </c>
      <c r="E69">
        <v>7.2805</v>
      </c>
      <c r="F69">
        <v>0.99265999999999999</v>
      </c>
      <c r="G69">
        <v>0.99885000000000002</v>
      </c>
      <c r="H69">
        <v>0.71355999999999997</v>
      </c>
      <c r="I69">
        <v>100</v>
      </c>
      <c r="J69">
        <v>1</v>
      </c>
      <c r="K69">
        <v>1</v>
      </c>
      <c r="L69">
        <v>1</v>
      </c>
      <c r="M69">
        <v>1</v>
      </c>
      <c r="N69" t="s">
        <v>154</v>
      </c>
      <c r="O69" t="s">
        <v>450</v>
      </c>
    </row>
    <row r="70" spans="1:15">
      <c r="A70" t="s">
        <v>451</v>
      </c>
      <c r="B70">
        <v>4</v>
      </c>
      <c r="C70">
        <v>3</v>
      </c>
      <c r="D70">
        <v>1</v>
      </c>
      <c r="E70">
        <v>3.8544</v>
      </c>
      <c r="F70">
        <v>0.99299000000000004</v>
      </c>
      <c r="G70">
        <v>1</v>
      </c>
      <c r="H70">
        <v>0.71763999999999994</v>
      </c>
      <c r="I70">
        <v>100</v>
      </c>
      <c r="J70">
        <v>1</v>
      </c>
      <c r="K70">
        <v>1</v>
      </c>
      <c r="L70">
        <v>1</v>
      </c>
      <c r="M70">
        <v>1</v>
      </c>
      <c r="N70" t="s">
        <v>156</v>
      </c>
      <c r="O70" t="s">
        <v>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34FA-F8B0-5948-89B1-27BFBAA6F66B}">
  <dimension ref="A1:C21"/>
  <sheetViews>
    <sheetView tabSelected="1" workbookViewId="0">
      <selection activeCell="G11" sqref="G11"/>
    </sheetView>
  </sheetViews>
  <sheetFormatPr baseColWidth="10" defaultRowHeight="16"/>
  <cols>
    <col min="1" max="1" width="10.6640625" bestFit="1" customWidth="1"/>
    <col min="2" max="2" width="36.6640625" bestFit="1" customWidth="1"/>
    <col min="3" max="3" width="10.1640625" bestFit="1" customWidth="1"/>
  </cols>
  <sheetData>
    <row r="1" spans="1:3">
      <c r="A1" t="s">
        <v>474</v>
      </c>
      <c r="B1" s="1" t="s">
        <v>453</v>
      </c>
      <c r="C1" s="1" t="s">
        <v>2</v>
      </c>
    </row>
    <row r="2" spans="1:3">
      <c r="A2" t="s">
        <v>454</v>
      </c>
      <c r="B2" s="1" t="s">
        <v>7</v>
      </c>
      <c r="C2" s="1">
        <v>1.0793000000000001E-3</v>
      </c>
    </row>
    <row r="3" spans="1:3">
      <c r="A3" t="s">
        <v>456</v>
      </c>
      <c r="B3" s="1" t="s">
        <v>334</v>
      </c>
      <c r="C3" s="1">
        <v>2.2236000000000001E-3</v>
      </c>
    </row>
    <row r="4" spans="1:3" ht="17">
      <c r="A4" s="3" t="s">
        <v>455</v>
      </c>
      <c r="B4" s="1" t="s">
        <v>336</v>
      </c>
      <c r="C4" s="1">
        <v>5.1640000000000002E-3</v>
      </c>
    </row>
    <row r="5" spans="1:3">
      <c r="A5" t="s">
        <v>459</v>
      </c>
      <c r="B5" s="1" t="s">
        <v>338</v>
      </c>
      <c r="C5" s="1">
        <v>9.1515999999999993E-3</v>
      </c>
    </row>
    <row r="6" spans="1:3">
      <c r="A6" t="s">
        <v>457</v>
      </c>
      <c r="B6" s="1" t="s">
        <v>340</v>
      </c>
      <c r="C6" s="1">
        <v>9.5475000000000004E-3</v>
      </c>
    </row>
    <row r="7" spans="1:3">
      <c r="A7" t="s">
        <v>458</v>
      </c>
      <c r="B7" s="1" t="s">
        <v>17</v>
      </c>
      <c r="C7" s="1">
        <v>1.0928999999999999E-2</v>
      </c>
    </row>
    <row r="8" spans="1:3">
      <c r="A8" t="s">
        <v>460</v>
      </c>
      <c r="B8" s="1" t="s">
        <v>343</v>
      </c>
      <c r="C8" s="1">
        <v>1.4156999999999999E-2</v>
      </c>
    </row>
    <row r="9" spans="1:3">
      <c r="A9" t="s">
        <v>461</v>
      </c>
      <c r="B9" s="1" t="s">
        <v>345</v>
      </c>
      <c r="C9" s="1">
        <v>2.4437E-2</v>
      </c>
    </row>
    <row r="10" spans="1:3">
      <c r="A10" t="s">
        <v>462</v>
      </c>
      <c r="B10" s="1" t="s">
        <v>6</v>
      </c>
      <c r="C10" s="1">
        <v>3.5902999999999997E-2</v>
      </c>
    </row>
    <row r="11" spans="1:3">
      <c r="A11" t="s">
        <v>463</v>
      </c>
      <c r="B11" s="1" t="s">
        <v>348</v>
      </c>
      <c r="C11" s="1">
        <v>3.6013000000000003E-2</v>
      </c>
    </row>
    <row r="12" spans="1:3">
      <c r="A12" t="s">
        <v>464</v>
      </c>
      <c r="B12" s="1" t="s">
        <v>350</v>
      </c>
      <c r="C12" s="1">
        <v>3.6384E-2</v>
      </c>
    </row>
    <row r="13" spans="1:3">
      <c r="A13" t="s">
        <v>465</v>
      </c>
      <c r="B13" s="1" t="s">
        <v>8</v>
      </c>
      <c r="C13" s="1">
        <v>3.6535999999999999E-2</v>
      </c>
    </row>
    <row r="14" spans="1:3">
      <c r="A14" t="s">
        <v>466</v>
      </c>
      <c r="B14" s="1" t="s">
        <v>9</v>
      </c>
      <c r="C14" s="1">
        <v>4.0252000000000003E-2</v>
      </c>
    </row>
    <row r="15" spans="1:3">
      <c r="A15" t="s">
        <v>468</v>
      </c>
      <c r="B15" s="1" t="s">
        <v>354</v>
      </c>
      <c r="C15" s="1">
        <v>4.0280999999999997E-2</v>
      </c>
    </row>
    <row r="16" spans="1:3">
      <c r="A16" t="s">
        <v>467</v>
      </c>
      <c r="B16" s="1" t="s">
        <v>65</v>
      </c>
      <c r="C16" s="1">
        <v>5.1989E-2</v>
      </c>
    </row>
    <row r="17" spans="1:3">
      <c r="A17" t="s">
        <v>469</v>
      </c>
      <c r="B17" s="1" t="s">
        <v>357</v>
      </c>
      <c r="C17" s="1">
        <v>5.4621000000000003E-2</v>
      </c>
    </row>
    <row r="18" spans="1:3">
      <c r="A18" t="s">
        <v>470</v>
      </c>
      <c r="B18" s="1" t="s">
        <v>11</v>
      </c>
      <c r="C18" s="1">
        <v>7.7152999999999999E-2</v>
      </c>
    </row>
    <row r="19" spans="1:3">
      <c r="A19" t="s">
        <v>471</v>
      </c>
      <c r="B19" s="1" t="s">
        <v>360</v>
      </c>
      <c r="C19" s="1">
        <v>8.2503999999999994E-2</v>
      </c>
    </row>
    <row r="20" spans="1:3">
      <c r="A20" t="s">
        <v>472</v>
      </c>
      <c r="B20" s="1" t="s">
        <v>362</v>
      </c>
      <c r="C20" s="1">
        <v>8.5126999999999994E-2</v>
      </c>
    </row>
    <row r="21" spans="1:3">
      <c r="A21" t="s">
        <v>473</v>
      </c>
      <c r="B21" s="1" t="s">
        <v>364</v>
      </c>
      <c r="C21" s="1">
        <v>0.1051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866C-1318-244D-8DEC-6C5D960422E5}">
  <dimension ref="A1:E21"/>
  <sheetViews>
    <sheetView workbookViewId="0">
      <selection activeCell="E5" sqref="E5"/>
    </sheetView>
  </sheetViews>
  <sheetFormatPr baseColWidth="10" defaultRowHeight="16"/>
  <cols>
    <col min="1" max="1" width="41" bestFit="1" customWidth="1"/>
    <col min="2" max="2" width="4.5" bestFit="1" customWidth="1"/>
    <col min="3" max="3" width="11.1640625" bestFit="1" customWidth="1"/>
    <col min="4" max="4" width="10.1640625" bestFit="1" customWidth="1"/>
    <col min="5" max="5" width="13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>
      <c r="A2" s="1" t="s">
        <v>63</v>
      </c>
      <c r="B2" s="1">
        <v>31</v>
      </c>
      <c r="C2" s="1">
        <v>3.2674000000000001E-4</v>
      </c>
      <c r="D2" s="1">
        <v>6.8069000000000003E-3</v>
      </c>
      <c r="E2" s="2">
        <f>-LOG10(C2)</f>
        <v>3.4857976952891994</v>
      </c>
    </row>
    <row r="3" spans="1:5">
      <c r="A3" s="1" t="s">
        <v>5</v>
      </c>
      <c r="B3" s="1">
        <v>12</v>
      </c>
      <c r="C3" s="1">
        <v>3.6968E-4</v>
      </c>
      <c r="D3" s="1">
        <v>6.8076999999999999E-3</v>
      </c>
      <c r="E3" s="2">
        <f>-LOG10(C3)</f>
        <v>3.4321740444893516</v>
      </c>
    </row>
    <row r="4" spans="1:5">
      <c r="A4" s="1" t="s">
        <v>9</v>
      </c>
      <c r="B4" s="1">
        <v>44</v>
      </c>
      <c r="C4" s="1">
        <v>1.5474E-3</v>
      </c>
      <c r="D4" s="1">
        <v>6.8313000000000002E-3</v>
      </c>
      <c r="E4" s="2">
        <f>-LOG10(C4)</f>
        <v>2.810397407478419</v>
      </c>
    </row>
    <row r="5" spans="1:5">
      <c r="A5" s="1" t="s">
        <v>4</v>
      </c>
      <c r="B5" s="1">
        <v>11</v>
      </c>
      <c r="C5" s="1">
        <v>6.0035000000000002E-3</v>
      </c>
      <c r="D5" s="1">
        <v>6.9211999999999997E-3</v>
      </c>
      <c r="E5" s="2">
        <f>-LOG10(C5)</f>
        <v>2.2215954850302375</v>
      </c>
    </row>
    <row r="6" spans="1:5">
      <c r="A6" s="1" t="s">
        <v>12</v>
      </c>
      <c r="B6" s="1">
        <v>58</v>
      </c>
      <c r="C6" s="1">
        <v>9.7833999999999994E-3</v>
      </c>
      <c r="D6" s="1">
        <v>6.9985000000000004E-3</v>
      </c>
      <c r="E6" s="2">
        <f>-LOG10(C6)</f>
        <v>2.009510189728859</v>
      </c>
    </row>
    <row r="7" spans="1:5">
      <c r="A7" s="1" t="s">
        <v>16</v>
      </c>
      <c r="B7" s="1">
        <v>28</v>
      </c>
      <c r="C7" s="1">
        <v>1.0251E-2</v>
      </c>
      <c r="D7" s="1">
        <v>7.0080999999999997E-3</v>
      </c>
      <c r="E7" s="2">
        <f>-LOG10(C7)</f>
        <v>1.9892337664815747</v>
      </c>
    </row>
    <row r="8" spans="1:5">
      <c r="A8" s="1" t="s">
        <v>15</v>
      </c>
      <c r="B8" s="1">
        <v>34</v>
      </c>
      <c r="C8" s="1">
        <v>1.0710000000000001E-2</v>
      </c>
      <c r="D8" s="1">
        <v>7.0175999999999997E-3</v>
      </c>
      <c r="E8" s="2">
        <f>-LOG10(C8)</f>
        <v>1.9702105291681444</v>
      </c>
    </row>
    <row r="9" spans="1:5">
      <c r="A9" s="1" t="s">
        <v>7</v>
      </c>
      <c r="B9" s="1">
        <v>20</v>
      </c>
      <c r="C9" s="1">
        <v>1.1226E-2</v>
      </c>
      <c r="D9" s="1">
        <v>7.0282000000000001E-3</v>
      </c>
      <c r="E9" s="2">
        <f>-LOG10(C9)</f>
        <v>1.9497749621163465</v>
      </c>
    </row>
    <row r="10" spans="1:5">
      <c r="A10" s="1" t="s">
        <v>105</v>
      </c>
      <c r="B10" s="1">
        <v>9</v>
      </c>
      <c r="C10" s="1">
        <v>1.7781000000000002E-2</v>
      </c>
      <c r="D10" s="1">
        <v>7.1650000000000004E-3</v>
      </c>
      <c r="E10" s="2">
        <f>-LOG10(C10)</f>
        <v>1.7500438180413194</v>
      </c>
    </row>
    <row r="11" spans="1:5">
      <c r="A11" s="1" t="s">
        <v>6</v>
      </c>
      <c r="B11" s="1">
        <v>42</v>
      </c>
      <c r="C11" s="1">
        <v>2.1155E-2</v>
      </c>
      <c r="D11" s="1">
        <v>7.2364999999999999E-3</v>
      </c>
      <c r="E11" s="2">
        <f>-LOG10(C11)</f>
        <v>1.6745869703326866</v>
      </c>
    </row>
    <row r="12" spans="1:5">
      <c r="A12" s="1" t="s">
        <v>8</v>
      </c>
      <c r="B12" s="1">
        <v>21</v>
      </c>
      <c r="C12" s="1">
        <v>2.2679999999999999E-2</v>
      </c>
      <c r="D12" s="1">
        <v>7.2690999999999997E-3</v>
      </c>
      <c r="E12" s="2">
        <f>-LOG10(C12)</f>
        <v>1.644356949779131</v>
      </c>
    </row>
    <row r="13" spans="1:5">
      <c r="A13" s="1" t="s">
        <v>19</v>
      </c>
      <c r="B13" s="1">
        <v>12</v>
      </c>
      <c r="C13" s="1">
        <v>2.4108000000000001E-2</v>
      </c>
      <c r="D13" s="1">
        <v>7.2997000000000001E-3</v>
      </c>
      <c r="E13" s="2">
        <f>-LOG10(C13)</f>
        <v>1.617838817204126</v>
      </c>
    </row>
    <row r="14" spans="1:5">
      <c r="A14" s="1" t="s">
        <v>13</v>
      </c>
      <c r="B14" s="1">
        <v>37</v>
      </c>
      <c r="C14" s="1">
        <v>2.4447E-2</v>
      </c>
      <c r="D14" s="1">
        <v>7.3070000000000001E-3</v>
      </c>
      <c r="E14" s="2">
        <f>-LOG10(C14)</f>
        <v>1.6117744274763015</v>
      </c>
    </row>
    <row r="15" spans="1:5">
      <c r="A15" s="1" t="s">
        <v>17</v>
      </c>
      <c r="B15" s="1">
        <v>10</v>
      </c>
      <c r="C15" s="1">
        <v>4.5808000000000001E-2</v>
      </c>
      <c r="D15" s="1">
        <v>7.7827E-3</v>
      </c>
      <c r="E15" s="2">
        <f>-LOG10(C15)</f>
        <v>1.3390586693224766</v>
      </c>
    </row>
    <row r="16" spans="1:5">
      <c r="A16" s="1" t="s">
        <v>149</v>
      </c>
      <c r="B16" s="1">
        <v>44</v>
      </c>
      <c r="C16" s="1">
        <v>4.8995999999999998E-2</v>
      </c>
      <c r="D16" s="1">
        <v>7.8565000000000006E-3</v>
      </c>
      <c r="E16" s="2">
        <f>-LOG10(C16)</f>
        <v>1.3098393740293781</v>
      </c>
    </row>
    <row r="17" spans="1:5">
      <c r="A17" s="1" t="s">
        <v>69</v>
      </c>
      <c r="B17" s="1">
        <v>12</v>
      </c>
      <c r="C17" s="1">
        <v>6.0440000000000001E-2</v>
      </c>
      <c r="D17" s="1">
        <v>8.1276000000000004E-3</v>
      </c>
      <c r="E17" s="2">
        <f>-LOG10(C17)</f>
        <v>1.2186755443330122</v>
      </c>
    </row>
    <row r="18" spans="1:5">
      <c r="A18" s="1" t="s">
        <v>18</v>
      </c>
      <c r="B18" s="1">
        <v>35</v>
      </c>
      <c r="C18" s="1">
        <v>6.7740999999999996E-2</v>
      </c>
      <c r="D18" s="1">
        <v>8.3058000000000003E-3</v>
      </c>
      <c r="E18" s="2">
        <f>-LOG10(C18)</f>
        <v>1.1691483965417526</v>
      </c>
    </row>
    <row r="19" spans="1:5">
      <c r="A19" s="1" t="s">
        <v>23</v>
      </c>
      <c r="B19" s="1">
        <v>34</v>
      </c>
      <c r="C19" s="1">
        <v>7.5219999999999995E-2</v>
      </c>
      <c r="D19" s="1">
        <v>8.4925999999999995E-3</v>
      </c>
      <c r="E19" s="2">
        <f>-LOG10(C19)</f>
        <v>1.1236666709136198</v>
      </c>
    </row>
    <row r="20" spans="1:5">
      <c r="A20" s="1" t="s">
        <v>81</v>
      </c>
      <c r="B20" s="1">
        <v>29</v>
      </c>
      <c r="C20" s="1">
        <v>7.6449000000000003E-2</v>
      </c>
      <c r="D20" s="1">
        <v>8.5237000000000004E-3</v>
      </c>
      <c r="E20" s="2">
        <f>-LOG10(C20)</f>
        <v>1.1166281910537841</v>
      </c>
    </row>
    <row r="21" spans="1:5">
      <c r="A21" s="1" t="s">
        <v>87</v>
      </c>
      <c r="B21" s="1">
        <v>53</v>
      </c>
      <c r="C21" s="1">
        <v>7.7963000000000005E-2</v>
      </c>
      <c r="D21" s="1">
        <v>8.5622000000000007E-3</v>
      </c>
      <c r="E21" s="2">
        <f>-LOG10(C21)</f>
        <v>1.1081114576716808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cluster_MFN</vt:lpstr>
      <vt:lpstr>cluster_KEGG</vt:lpstr>
      <vt:lpstr>EnrichNet_KEGG</vt:lpstr>
      <vt:lpstr>EnrichNet_MFN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Joshua (NIH/NIA/IRP) [V]</dc:creator>
  <cp:lastModifiedBy>Preston, Joshua</cp:lastModifiedBy>
  <dcterms:created xsi:type="dcterms:W3CDTF">2025-08-11T18:21:02Z</dcterms:created>
  <dcterms:modified xsi:type="dcterms:W3CDTF">2025-08-27T19:21:20Z</dcterms:modified>
</cp:coreProperties>
</file>