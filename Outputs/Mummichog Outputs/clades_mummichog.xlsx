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jdprest_emory_edu/Documents/Research/Manuscripts and Projects/Active Projects/Thyroid Metabolomics/DTC-metabolomics-2025/Outputs/Mummichog Outputs/"/>
    </mc:Choice>
  </mc:AlternateContent>
  <xr:revisionPtr revIDLastSave="48" documentId="8_{F7DDF023-177B-D747-AFBC-F9B761A98FD5}" xr6:coauthVersionLast="47" xr6:coauthVersionMax="47" xr10:uidLastSave="{EAB2AF9F-8884-F647-A4F2-387326BB9FB9}"/>
  <bookViews>
    <workbookView xWindow="39400" yWindow="-2080" windowWidth="17820" windowHeight="17640" xr2:uid="{C6B41103-796F-6E47-BFBD-4F4096F04FFA}"/>
  </bookViews>
  <sheets>
    <sheet name="EnrichNet" sheetId="1" r:id="rId1"/>
    <sheet name="Mummichog Output" sheetId="2" r:id="rId2"/>
  </sheets>
  <definedNames>
    <definedName name="_xlnm._FilterDatabase" localSheetId="0" hidden="1">EnrichNet!$A$1:$E$21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9" i="1"/>
  <c r="E4" i="1"/>
  <c r="E14" i="1"/>
  <c r="E11" i="1"/>
  <c r="E6" i="1"/>
  <c r="E15" i="1"/>
  <c r="E5" i="1"/>
  <c r="E2" i="1"/>
  <c r="E3" i="1"/>
  <c r="E17" i="1"/>
  <c r="E7" i="1"/>
  <c r="E16" i="1"/>
  <c r="E20" i="1"/>
  <c r="E9" i="1"/>
  <c r="E21" i="1"/>
  <c r="E12" i="1"/>
  <c r="E10" i="1"/>
  <c r="E13" i="1"/>
  <c r="E8" i="1"/>
</calcChain>
</file>

<file path=xl/sharedStrings.xml><?xml version="1.0" encoding="utf-8"?>
<sst xmlns="http://schemas.openxmlformats.org/spreadsheetml/2006/main" count="348" uniqueCount="324">
  <si>
    <t>Name</t>
  </si>
  <si>
    <t>Hits</t>
  </si>
  <si>
    <t>FET</t>
  </si>
  <si>
    <t>Gamma</t>
  </si>
  <si>
    <t>Beta-Alanine metabolism</t>
  </si>
  <si>
    <t>Glutamate metabolism</t>
  </si>
  <si>
    <t>Pyrimidine metabolism</t>
  </si>
  <si>
    <t>Butanoate metabolism</t>
  </si>
  <si>
    <t>Valine, leucine and isoleucine degradation</t>
  </si>
  <si>
    <t>Purine metabolism</t>
  </si>
  <si>
    <t>Histidine metabolism</t>
  </si>
  <si>
    <t>Pentose phosphate pathway</t>
  </si>
  <si>
    <t>Aspartate and asparagine metabolism</t>
  </si>
  <si>
    <t>Urea cycle/amino group metabolism</t>
  </si>
  <si>
    <t>De novo fatty acid biosynthesis</t>
  </si>
  <si>
    <t>Glycolysis and Gluconeogenesis</t>
  </si>
  <si>
    <t>Squalene and cholesterol biosynthesis</t>
  </si>
  <si>
    <t>Propanoate metabolism</t>
  </si>
  <si>
    <t>Glycerophospholipid metabolism</t>
  </si>
  <si>
    <t>Selenoamino acid metabolism</t>
  </si>
  <si>
    <t>Phosphatidylinositol phosphate metabolism</t>
  </si>
  <si>
    <t>Arginine and Proline Metabolism</t>
  </si>
  <si>
    <t>Lysine metabolism</t>
  </si>
  <si>
    <t>Glycine, serine, alanine and threonine metabolism</t>
  </si>
  <si>
    <t xml:space="preserve"> neg log p value</t>
  </si>
  <si>
    <t>Pathway total</t>
  </si>
  <si>
    <t>Hits.total</t>
  </si>
  <si>
    <t>Hits.sig</t>
  </si>
  <si>
    <t>Expected</t>
  </si>
  <si>
    <t>P(Fisher)</t>
  </si>
  <si>
    <t>P(EASE)</t>
  </si>
  <si>
    <t>P(Gamma)</t>
  </si>
  <si>
    <t>Emp.Hits</t>
  </si>
  <si>
    <t>Empirical</t>
  </si>
  <si>
    <t>AdjP.Fisher</t>
  </si>
  <si>
    <t>AdjP.EASE</t>
  </si>
  <si>
    <t>AdjP.Gamma</t>
  </si>
  <si>
    <t>Pathway Number</t>
  </si>
  <si>
    <t>cpd.hits</t>
  </si>
  <si>
    <t>P1</t>
  </si>
  <si>
    <t>EC00014;EC00015;EC000507;EC000324;EC000325;EC000326;EC000285;EC000286;EC000288;EC00022;EC000125;EC000127;EC00016;EC000264;EC000175;EC00028;EC00013</t>
  </si>
  <si>
    <t>P2</t>
  </si>
  <si>
    <t>EC00014;EC00015;EC00016;EC00022;EC00013;EC000285;EC000286;EC000288;EC00045;EC00047;EC00024;EC000846;EC000162;EC000487;EC000488;EC000489;EC00099;EC000100;EC000102;EC000103</t>
  </si>
  <si>
    <t>P3</t>
  </si>
  <si>
    <t>EC00093;EC00094;EC000717;EC00013;EC00044;EC000610;EC00045;EC00047;EC0008;EC00010;EC000334;EC00014;EC00015;EC00039;EC000550;EC000552;EC000359;EC00036;EC000285;EC000286;EC000288;EC00022;EC000498;EC00099;EC000100;EC000102;EC000103;EC000194;EC000545;EC000546;EC00057;EC000253;EC000383;EC000384;EC000110;EC000112;EC000350;EC000351;EC000162;EC000316;EC000317;EC000495;EC00072;EC00073;EC00074;EC000146;EC000147;EC00028</t>
  </si>
  <si>
    <t>P4</t>
  </si>
  <si>
    <t>EC00014;EC00015;EC00016;EC0008;EC00010;EC00013;EC00099;EC000100;EC000102;EC000103;EC000992;EC0001111;EC0001113;EC000817;EC000818;EC000585;EC000587;EC0001098;EC0005;EC000285;EC000286;EC000288;EC000800;EC000211;EC00024;EC000547</t>
  </si>
  <si>
    <t>P5</t>
  </si>
  <si>
    <t>EC00014;EC00015;EC00016;EC0008;EC00010;EC00099;EC000100;EC000102;EC000103;EC000131;EC000121;EC000122;EC0005;EC00024;EC000585;EC000201;EC000203;EC000587;EC0001416;EC0001417;EC000215;EC000285;EC000286;EC000288</t>
  </si>
  <si>
    <t>P6</t>
  </si>
  <si>
    <t>EC000310;EC000311;EC00014;EC00015;EC0008;EC00010;EC00036;EC000134;EC000911;EC000879;EC000189;EC000190;EC000192;EC000117;EC000139;EC000910;EC000424;EC000425;EC000118;EC000713;EC000247;EC000248;EC000249;EC00057;EC0001115;EC000207;EC000110;EC000112;EC000231;EC000232;EC000327;EC000495;EC000483;EC00045;EC00047;EC000321;EC000322;EC00013;EC00028;EC00053</t>
  </si>
  <si>
    <t>P7</t>
  </si>
  <si>
    <t>EC00014;EC00015;EC00016;EC00012;EC0008;EC00010;EC000857;EC000858;EC000946;EC000361;EC000514;EC000516;EC00022;EC0001063;EC0001065;EC0007;EC000125;EC000127;EC0001059;EC0001061;EC0001349;EC000949;EC000331;EC000332;EC00013;EC000324;EC000325;EC000326</t>
  </si>
  <si>
    <t>P8</t>
  </si>
  <si>
    <t>EC000117;EC000242;EC000243;EC000291;EC000293;EC000717;EC000110;EC000112;EC0008;EC00010;EC000735;EC000111;EC000229;EC000184;EC00072;EC00073;EC00074;EC000298;EC000299;EC000300;EC000106;EC000241;EC000370;EC000646;EC00017;EC000495</t>
  </si>
  <si>
    <t>P9</t>
  </si>
  <si>
    <t>EC00014;EC00015;EC00016;EC0008;EC00010;EC000141;EC000459;EC000353;EC000355;EC00099;EC000100;EC000102;EC000103;EC0001066;EC0005;EC000146;EC000147;EC000648;EC000827;EC000723;EC000721;EC000724;EC0001325;EC000264;EC00089;EC00059;EC000776;EC000285;EC000286;EC000288;EC00028;EC000162;EC000338;EC000339;EC00042;EC00045;EC00047;EC000904;EC000487;EC000488;EC000489;EC000585;EC000587;EC000607;EC000608;EC000507;EC000837;EC000271;EC0001435;EC000614;EC00020;EC0001327;EC00026</t>
  </si>
  <si>
    <t>P10</t>
  </si>
  <si>
    <t>EC00014;EC00015;EC000141;EC000684;EC00012;EC000520;EC000521;EC00042;EC000271;EC000846;EC000895;EC000899;EC000507;EC000387;EC000464;EC000264;EC000254;EC000255;EC000256;EC000166;EC00022;EC0005;EC0007;EC000118;EC000285;EC000286;EC000288;EC000763;EC000424;EC000425;EC00016;EC000207;EC000353;EC000355;EC000676;EC000827;EC000655;EC000656;EC000517;EC000518;EC000262;EC00028;EC00059;EC000162;EC000338;EC000339</t>
  </si>
  <si>
    <t>P11</t>
  </si>
  <si>
    <t>EC0008;EC00010;EC000677;EC000679;EC000499;EC000501;EC0001131;EC0001132;EC0001129;EC0001130;EC000216;EC000217;EC0001135;EC000731;EC000732;EC000788;EC000789;EC00036;EC000195;EC000196;EC000197;EC000689</t>
  </si>
  <si>
    <t>P12</t>
  </si>
  <si>
    <t>EC000144;EC00020;EC000547;EC000301;EC00072;EC00073;EC00074;EC00013;EC000431;EC0008;EC00010;EC000106;EC00017;EC00057;EC000182;EC000619;EC000620;EC000199;EC000200;EC000215;EC000175;EC000162</t>
  </si>
  <si>
    <t>P13</t>
  </si>
  <si>
    <t>EC000448;EC000177;EC000941;EC000342;EC000343;EC000345;EC000839;EC000621;EC0005;EC00099;EC000100;EC000102;EC000103</t>
  </si>
  <si>
    <t>P14</t>
  </si>
  <si>
    <t>EC0008;EC00010;EC00099;EC000100;EC000102;EC000103;EC00020;EC000585;EC000587;EC0005;EC000175;EC00013</t>
  </si>
  <si>
    <t>P15</t>
  </si>
  <si>
    <t>EC00012;EC000965;EC000639;EC000640;EC000820;EC0007;EC00013;EC000925;EC000926;EC000230;EC000266;EC00082;EC00083;EC0001131;EC0001132;EC000491;EC000437;EC000294;EC000295;EC00044;EC00048;EC00049;EC00051;EC00017;EC000175;EC000646;EC000106;EC00072;EC00073;EC00074;EC000536;EC000177;EC000689;EC00039;EC0001242;EC000195;EC000196;EC000197</t>
  </si>
  <si>
    <t>P16</t>
  </si>
  <si>
    <t>EC0008;EC00010;EC00048;EC00049;EC00051;EC00099;EC000100;EC000102;EC000103;EC000189;EC000190;EC000192;EC0001050;EC000233;EC00022</t>
  </si>
  <si>
    <t>P17</t>
  </si>
  <si>
    <t>EC00017;EC000639;EC000640;EC000889;EC000890;EC000301;EC0001502;EC00039;EC000653;EC00072;EC00073;EC00074;EC000181;EC00077;EC000216;EC000217;EC0001245;EC0001247</t>
  </si>
  <si>
    <t>P18</t>
  </si>
  <si>
    <t>EC00014;EC00015;EC000141;EC00016;EC00013;EC00042;EC000271;EC000846;EC00020;EC000614;EC000166;EC000118;EC0005;EC0007;EC000139;EC000721;EC000723;EC000724;EC000353;EC000355;EC00024;EC00045;EC00047;EC00028;EC000338;EC000339</t>
  </si>
  <si>
    <t>P19</t>
  </si>
  <si>
    <t>EC00014;EC00015;EC00016;EC00012;EC0008;EC00010;EC000378;EC000989;EC000990;EC000988;EC0005;EC000431;EC000265;EC0007;EC00026;EC000572;EC000338;EC000339;EC000215;EC000374;EC00024;EC000638;EC000874;EC000875</t>
  </si>
  <si>
    <t>P20</t>
  </si>
  <si>
    <t>EC00014;EC00015;EC00016;EC00012;EC0008;EC00010;EC00013;EC000285;EC000286;EC000288;EC00042;EC0005;EC0007;EC0001333;EC000175;EC000230;EC0001410;EC000254;EC000255;EC000256;EC000353;EC000355;EC00059;EC000215;EC0001100;EC00048;EC00049;EC00051;EC00099;EC000100;EC000102;EC000103;EC000431;EC000582;EC000178;EC000179;EC000746;EC000182;EC00022</t>
  </si>
  <si>
    <t>Aminosugars metabolism</t>
  </si>
  <si>
    <t>P21</t>
  </si>
  <si>
    <t>EC00014;EC00015;EC000277;EC000280;EC00013;EC000123;EC000128;EC00045;EC00047;EC00072;EC00073;EC00074;EC000308;EC000309;EC000238;EC00039;EC00044;EC000298;EC000299;EC000300;EC00057;EC000458</t>
  </si>
  <si>
    <t>Fructose and mannose metabolism</t>
  </si>
  <si>
    <t>P22</t>
  </si>
  <si>
    <t>EC000301;EC000175;EC00072;EC00073;EC00074;EC000591;EC000593;EC00017;EC000106;EC000646;EC000524;EC000810;EC0001384;EC0001385;EC0001386;EC0001387</t>
  </si>
  <si>
    <t>Carnitine shuttle</t>
  </si>
  <si>
    <t>P23</t>
  </si>
  <si>
    <t>EC0001503;EC0001504;EC0001499;EC0001505;EC000265;EC0001487;EC0001509</t>
  </si>
  <si>
    <t>Nitrogen metabolism</t>
  </si>
  <si>
    <t>P24</t>
  </si>
  <si>
    <t>EC00014;EC00015;EC000146;EC000147;EC00045;EC00047;EC00028</t>
  </si>
  <si>
    <t>Carbon fixation</t>
  </si>
  <si>
    <t>P25</t>
  </si>
  <si>
    <t>EC00020;EC00072;EC00073;EC00074;EC000106;EC000241;EC00013;EC000301;EC00057;EC000110;EC000111;EC000112;EC00028</t>
  </si>
  <si>
    <t>Porphyrin metabolism</t>
  </si>
  <si>
    <t>P26</t>
  </si>
  <si>
    <t>EC000353;EC000355;EC000181;EC0005;EC00053;EC0001054;EC000557;EC000561;EC000606;EC000401;EC000341;EC000388</t>
  </si>
  <si>
    <t>Fatty acid activation</t>
  </si>
  <si>
    <t>P27</t>
  </si>
  <si>
    <t>EC0008;EC00010;EC000501;EC000499;EC0005;EC0001131;EC0001132;EC0001129;EC0001130;EC0001126;EC000211;EC000216;EC000217;EC000689;EC000677;EC000679</t>
  </si>
  <si>
    <t>Vitamin B3 (nicotinate and nicotinamide) metabolism</t>
  </si>
  <si>
    <t>P28</t>
  </si>
  <si>
    <t>EC00014;EC00015;EC00012;EC0008;EC00010;EC00042;EC00045;EC00047;EC000222;EC000224;EC000820;EC0001072;EC0001074;EC0007;EC000150;EC000151;EC000110;EC000112;EC00028</t>
  </si>
  <si>
    <t>Glycosphingolipid metabolism</t>
  </si>
  <si>
    <t>P29</t>
  </si>
  <si>
    <t>EC000437;EC00017;EC000294;EC000295;EC000123;EC000216;EC000217;EC000266;EC000238;EC00036;EC00039;EC0005;EC00048;EC00049;EC00051;EC000128;EC000536;EC0001201;EC00041</t>
  </si>
  <si>
    <t>Fatty Acid Metabolism</t>
  </si>
  <si>
    <t>P30</t>
  </si>
  <si>
    <t>EC000265;EC000788;EC000789;EC0001129;EC0001130;EC000216;EC000217;EC000689;EC000677;EC000679;EC000177;EC0001489;EC0001492</t>
  </si>
  <si>
    <t>Omega-6 fatty acid metabolism</t>
  </si>
  <si>
    <t>P31</t>
  </si>
  <si>
    <t>EC0008;EC00010;EC000195;EC000196;EC000197</t>
  </si>
  <si>
    <t>Methionine and cysteine metabolism</t>
  </si>
  <si>
    <t>P32</t>
  </si>
  <si>
    <t>EC00014;EC00015;EC00016;EC00012;EC0008;EC00010;EC00013;EC000316;EC0007;EC00099;EC000100;EC000102;EC000103;EC00089;EC000421;EC000392;EC000209;EC000746;EC00048;EC00049;EC00051;EC000404;EC000727;EC000410;EC00036;EC000793;EC000189;EC000190;EC000192;EC00041;EC0001077;EC0001078</t>
  </si>
  <si>
    <t>Saturated fatty acids beta-oxidation</t>
  </si>
  <si>
    <t>P33</t>
  </si>
  <si>
    <t>EC000265;EC0005;EC000216;EC000217</t>
  </si>
  <si>
    <t>Keratan sulfate degradation</t>
  </si>
  <si>
    <t>P34</t>
  </si>
  <si>
    <t>EC00017;EC000128;EC000238;EC00041;EC0001495;EC000591;EC000593</t>
  </si>
  <si>
    <t>Arachidonic acid metabolism</t>
  </si>
  <si>
    <t>P35</t>
  </si>
  <si>
    <t>EC00014;EC00015;EC0008;EC00010;EC000347;EC000925;EC000926;EC0005;EC0001367;EC0001366;EC0001131;EC0001132;EC0001336;EC0001086;EC0001493;EC000195;EC000196;EC000197</t>
  </si>
  <si>
    <t>Vitamin B12 (cyanocobalamin) metabolism</t>
  </si>
  <si>
    <t>P36</t>
  </si>
  <si>
    <t>EC00012;EC0007</t>
  </si>
  <si>
    <t>Chondroitin sulfate degradation</t>
  </si>
  <si>
    <t>P37</t>
  </si>
  <si>
    <t>EC00017;EC000181;EC00041;EC000128;EC000117</t>
  </si>
  <si>
    <t>Heparan sulfate degradation</t>
  </si>
  <si>
    <t>P38</t>
  </si>
  <si>
    <t>EC000128;EC00017;EC000181;EC00041;EC000117</t>
  </si>
  <si>
    <t>Pentose and Glucuronate Interconversions</t>
  </si>
  <si>
    <t>P39</t>
  </si>
  <si>
    <t>EC000117;EC000181;EC000110;EC000112;EC000229;EC000111;EC000957</t>
  </si>
  <si>
    <t>N-Glycan Degradation</t>
  </si>
  <si>
    <t>P40</t>
  </si>
  <si>
    <t>EC00017;EC000458;EC000128;EC000238;EC0001495;EC000591;EC000593</t>
  </si>
  <si>
    <t>Nucleotide Sugar Metabolism</t>
  </si>
  <si>
    <t>P41</t>
  </si>
  <si>
    <t>EC00072;EC00073;EC00074;EC000537</t>
  </si>
  <si>
    <t>Vitamin B6 (pyridoxine) metabolism</t>
  </si>
  <si>
    <t>P42</t>
  </si>
  <si>
    <t>EC000218;EC000220;EC000221;EC000417;EC000262;EC000538</t>
  </si>
  <si>
    <t>Hexose phosphorylation</t>
  </si>
  <si>
    <t>P43</t>
  </si>
  <si>
    <t>EC00017;EC000277;EC000280;EC00073;EC00074;EC00072;EC00077;EC000524;EC000298;EC000299;EC000300</t>
  </si>
  <si>
    <t>Glutathione Metabolism</t>
  </si>
  <si>
    <t>P44</t>
  </si>
  <si>
    <t>EC000721;EC000723;EC000724;EC00014;EC00015;EC00022;EC0001274;EC000487;EC000488;EC000489;EC00089</t>
  </si>
  <si>
    <t>Alanine and Aspartate Metabolism</t>
  </si>
  <si>
    <t>P45</t>
  </si>
  <si>
    <t>EC00014;EC00015;EC00016;EC0008;EC00010;EC00013;EC00042;EC000118;EC00045;EC00047;EC00022;EC00020;EC000146;EC000147;EC000271;EC00028</t>
  </si>
  <si>
    <t>Vitamin B5 - CoA biosynthesis from pantothenate</t>
  </si>
  <si>
    <t>P46</t>
  </si>
  <si>
    <t>EC0008;EC00010;EC00044;EC000845;EC000542;EC000533;EC00089</t>
  </si>
  <si>
    <t>Omega-3 fatty acid metabolism</t>
  </si>
  <si>
    <t>P47</t>
  </si>
  <si>
    <t>EC0008;EC00010;EC0001254;EC0001255;EC000931;EC0001131;EC0001132</t>
  </si>
  <si>
    <t>C5-Branched dibasic acid metabolism</t>
  </si>
  <si>
    <t>P48</t>
  </si>
  <si>
    <t>EC00013;EC000389;EC000391</t>
  </si>
  <si>
    <t>Glycosylphosphatidylinositol(GPI)-anchor biosynthesis</t>
  </si>
  <si>
    <t>P49</t>
  </si>
  <si>
    <t>EC00072;EC00073;EC00074</t>
  </si>
  <si>
    <t>Mono-unsaturated fatty acid beta-oxidation</t>
  </si>
  <si>
    <t>P50</t>
  </si>
  <si>
    <t>EC0005;EC0008;EC00010</t>
  </si>
  <si>
    <t>TCA cycle</t>
  </si>
  <si>
    <t>P51</t>
  </si>
  <si>
    <t>EC000118;EC000144;EC00016;EC000334;EC0005;EC000431;EC000157;EC00020;EC00057;EC000215;EC00024;EC000341</t>
  </si>
  <si>
    <t>Vitamin B1 (thiamin) metabolism</t>
  </si>
  <si>
    <t>P52</t>
  </si>
  <si>
    <t>EC0008;EC00010;EC00013;EC00016;EC000619;EC000620</t>
  </si>
  <si>
    <t>Sialic acid metabolism</t>
  </si>
  <si>
    <t>P53</t>
  </si>
  <si>
    <t>EC000128;EC000965;EC00017;EC000502;EC000308;EC000309;EC00057;EC00072;EC00073;EC00074;EC00077;EC00048;EC00049;EC00051;EC000238;EC000184;EC000123;EC00039</t>
  </si>
  <si>
    <t>Fatty acid oxidation, peroxisome</t>
  </si>
  <si>
    <t>P54</t>
  </si>
  <si>
    <t>EC00016;EC00024</t>
  </si>
  <si>
    <t>CoA Catabolism</t>
  </si>
  <si>
    <t>P55</t>
  </si>
  <si>
    <t>EC0008;EC00010;EC000533;EC000542</t>
  </si>
  <si>
    <t>Phytanic acid peroxisomal oxidation</t>
  </si>
  <si>
    <t>P56</t>
  </si>
  <si>
    <t>EC00016;EC0008;EC00010;EC00024</t>
  </si>
  <si>
    <t>Vitamin B9 (folate) metabolism</t>
  </si>
  <si>
    <t>P57</t>
  </si>
  <si>
    <t>EC00014;EC00015;EC00048;EC00049;EC00051;EC000879;EC0005</t>
  </si>
  <si>
    <t>R Group Synthesis</t>
  </si>
  <si>
    <t>P58</t>
  </si>
  <si>
    <t>EC0005</t>
  </si>
  <si>
    <t>Dimethyl-branched-chain fatty acid mitochondrial beta-oxidation</t>
  </si>
  <si>
    <t>P59</t>
  </si>
  <si>
    <t>Fatty acid oxidation</t>
  </si>
  <si>
    <t>P60</t>
  </si>
  <si>
    <t>EC0005;EC000334</t>
  </si>
  <si>
    <t>Polyunsaturated fatty acid biosynthesis</t>
  </si>
  <si>
    <t>P61</t>
  </si>
  <si>
    <t>EC000677;EC000679</t>
  </si>
  <si>
    <t>Ascorbate (Vitamin C) and Aldarate Metabolism</t>
  </si>
  <si>
    <t>P62</t>
  </si>
  <si>
    <t>EC000229;EC000184;EC000450;EC000181;EC000740;EC000729;EC000971;EC00053;EC000157;EC000525;EC000341;EC000701;EC000730</t>
  </si>
  <si>
    <t>Pyruvate Metabolism</t>
  </si>
  <si>
    <t>P63</t>
  </si>
  <si>
    <t>EC000144;EC000175;EC00013;EC00020;EC000106</t>
  </si>
  <si>
    <t>N-Glycan biosynthesis</t>
  </si>
  <si>
    <t>P64</t>
  </si>
  <si>
    <t>EC000123;EC00044;EC00039;EC00017;EC00072;EC00073;EC00074</t>
  </si>
  <si>
    <t>Androgen and estrogen biosynthesis and metabolism</t>
  </si>
  <si>
    <t>P65</t>
  </si>
  <si>
    <t>EC00012;EC000413;EC0007;EC000567;EC000568;EC0001184;EC00036;EC00041;EC000906;EC000907</t>
  </si>
  <si>
    <t>Bile acid biosynthesis</t>
  </si>
  <si>
    <t>P66</t>
  </si>
  <si>
    <t>EC000921;EC000923;EC000850;EC000881;EC0008;EC00010;EC0005;EC000681;EC000496;EC0001303;EC000209;EC0001304;EC000177</t>
  </si>
  <si>
    <t>Biopterin metabolism</t>
  </si>
  <si>
    <t>P67</t>
  </si>
  <si>
    <t>EC0001082;EC000820;EC00064;EC00065;EC000234;EC00067;EC00068</t>
  </si>
  <si>
    <t>Drug metabolism - other enzymes</t>
  </si>
  <si>
    <t>P68</t>
  </si>
  <si>
    <t>EC0001298;EC0001156;EC0001157;EC0001194;EC0001139;EC0001140</t>
  </si>
  <si>
    <t>Di-unsaturated fatty acid beta-oxidation</t>
  </si>
  <si>
    <t>P69</t>
  </si>
  <si>
    <t>EC0008;EC00010;EC0005;EC000689</t>
  </si>
  <si>
    <t>Vitamin B2 (riboflavin) metabolism</t>
  </si>
  <si>
    <t>P70</t>
  </si>
  <si>
    <t>EC0008;EC00010;EC0005;EC000227</t>
  </si>
  <si>
    <t>Vitamin H (biotin) metabolism</t>
  </si>
  <si>
    <t>P71</t>
  </si>
  <si>
    <t>EC00026;EC0008;EC00010</t>
  </si>
  <si>
    <t>Ubiquinone Biosynthesis</t>
  </si>
  <si>
    <t>P72</t>
  </si>
  <si>
    <t>EC000334;EC00012;EC0008;EC00010;EC0007;EC000153</t>
  </si>
  <si>
    <t>Galactose metabolism</t>
  </si>
  <si>
    <t>P73</t>
  </si>
  <si>
    <t>EC00017;EC00072;EC00073;EC00074;EC000128;EC00077;EC000965;EC000646;EC000175;EC000184;EC000301;EC00044;EC000524;EC000106;EC000502;EC000458</t>
  </si>
  <si>
    <t>Keratan sulfate biosynthesis</t>
  </si>
  <si>
    <t>P74</t>
  </si>
  <si>
    <t>EC000123;EC00039;EC00036</t>
  </si>
  <si>
    <t>Vitamin A (retinol) metabolism</t>
  </si>
  <si>
    <t>P75</t>
  </si>
  <si>
    <t>EC000731;EC000732;EC000382;EC0008;EC00010;EC000925;EC000926</t>
  </si>
  <si>
    <t>Prostaglandin formation from arachidonate</t>
  </si>
  <si>
    <t>P76</t>
  </si>
  <si>
    <t>EC000341;EC000347;EC0001088;EC0001413;EC0001366;EC0001095;EC000195;EC000196;EC000197;EC0008;EC00010;EC0001091;EC00053;EC0001447</t>
  </si>
  <si>
    <t>Hyaluronan Metabolism</t>
  </si>
  <si>
    <t>P77</t>
  </si>
  <si>
    <t>EC000128;EC000181</t>
  </si>
  <si>
    <t>Putative anti-Inflammatory metabolites formation from EPA</t>
  </si>
  <si>
    <t>P78</t>
  </si>
  <si>
    <t>EC00014;EC00015;EC0001336;EC0001366;EC0001481</t>
  </si>
  <si>
    <t>Glyoxylate and Dicarboxylate Metabolism</t>
  </si>
  <si>
    <t>P79</t>
  </si>
  <si>
    <t>EC000106;EC000182;EC000230;EC000117;EC000582</t>
  </si>
  <si>
    <t>Vitamin D3 (cholecalciferol) metabolism</t>
  </si>
  <si>
    <t>P80</t>
  </si>
  <si>
    <t>EC000681;EC000448;EC0001304;EC0001303</t>
  </si>
  <si>
    <t>Glycosphingolipid biosynthesis - globoseries</t>
  </si>
  <si>
    <t>P81</t>
  </si>
  <si>
    <t>EC00039;EC000123;EC00017;EC000128</t>
  </si>
  <si>
    <t>Starch and Sucrose Metabolism</t>
  </si>
  <si>
    <t>P82</t>
  </si>
  <si>
    <t>EC00072;EC00073;EC00074;EC00077;EC000508;EC00017;EC000502</t>
  </si>
  <si>
    <t>Tyrosine metabolism</t>
  </si>
  <si>
    <t>P83</t>
  </si>
  <si>
    <t>EC00016;EC00012;EC0008;EC00010;EC0001317;EC0001320;EC000517;EC000518;EC00014;EC00015;EC00013;EC0007;EC000341;EC000867;EC000599;EC00041;EC000262;EC0001168;EC0001169;EC0001473;EC000999;EC000803;EC00089;EC00064;EC00065;EC00053;EC0001116;EC00067;EC00068;EC000763;EC000387;EC00045;EC00047;EC000996;EC0001012;EC000303;EC000304;EC000234;EC0001175;EC000437;EC000118;EC000684;EC000746;EC0001002;EC0001004;EC0001006;EC00036;EC000450;EC0001020;EC0001314;EC00099;EC000100;EC000102;EC000103;EC00022;EC0001357;EC0001360;EC0001281</t>
  </si>
  <si>
    <t>C21-steroid hormone biosynthesis and metabolism</t>
  </si>
  <si>
    <t>P84</t>
  </si>
  <si>
    <t>EC000567;EC000568;EC000850;EC000413;EC000388;EC000906;EC000907;EC000177;EC00036;EC00041</t>
  </si>
  <si>
    <t>Glycosphingolipid biosynthesis - ganglioseries</t>
  </si>
  <si>
    <t>P85</t>
  </si>
  <si>
    <t>EC00017;EC000123;EC00036;EC00039;EC000128</t>
  </si>
  <si>
    <t>Vitamin E metabolism</t>
  </si>
  <si>
    <t>P86</t>
  </si>
  <si>
    <t>EC0008;EC00010;EC0001366;EC000450;EC0001444</t>
  </si>
  <si>
    <t>O-Glycan biosynthesis</t>
  </si>
  <si>
    <t>P87</t>
  </si>
  <si>
    <t>EC000123;EC00039</t>
  </si>
  <si>
    <t>Alkaloid biosynthesis II</t>
  </si>
  <si>
    <t>P88</t>
  </si>
  <si>
    <t>EC0008;EC00010;EC0001205;EC0001206</t>
  </si>
  <si>
    <t>Leukotriene metabolism</t>
  </si>
  <si>
    <t>P89</t>
  </si>
  <si>
    <t>EC0008;EC00010;EC0001336;EC0001366;EC000195;EC000196;EC000197;EC00015;EC00014;EC000347;EC000743;EC0001086</t>
  </si>
  <si>
    <t>Electron transport chain</t>
  </si>
  <si>
    <t>P90</t>
  </si>
  <si>
    <t>EC000334</t>
  </si>
  <si>
    <t>Proteoglycan biosynthesis</t>
  </si>
  <si>
    <t>P91</t>
  </si>
  <si>
    <t>EC00036</t>
  </si>
  <si>
    <t>Glycosphingolipid biosynthesis - lactoseries</t>
  </si>
  <si>
    <t>P92</t>
  </si>
  <si>
    <t>Blood Group Biosynthesis</t>
  </si>
  <si>
    <t>P93</t>
  </si>
  <si>
    <t>Glycosphingolipid biosynthesis - neolactoseries</t>
  </si>
  <si>
    <t>P94</t>
  </si>
  <si>
    <t>Xenobiotics metabolism</t>
  </si>
  <si>
    <t>P95</t>
  </si>
  <si>
    <t>EC0001080;EC00036;EC000531;EC0002;EC0001129;EC0001130;EC000216;EC000217;EC0001192;EC000473;EC000788;EC000789;EC0001237;EC0001119;EC000663</t>
  </si>
  <si>
    <t>Linoleate metabolism</t>
  </si>
  <si>
    <t>P96</t>
  </si>
  <si>
    <t>EC0001343;EC0001475;EC0001328;EC0001368;EC0001370;EC000918;EC0001164;EC0001372;EC00053;EC0001224;EC0001225;EC0001220;EC0001221;EC000931;EC0001131;EC0001132;EC000689;EC000693</t>
  </si>
  <si>
    <t>D4&amp;E4-neuroprostanes formation</t>
  </si>
  <si>
    <t>P97</t>
  </si>
  <si>
    <t>EC00053;EC000341</t>
  </si>
  <si>
    <t>Dynorphin metabolism</t>
  </si>
  <si>
    <t>P98</t>
  </si>
  <si>
    <t>EC0001395</t>
  </si>
  <si>
    <t>Tryptophan metabolism</t>
  </si>
  <si>
    <t>P99</t>
  </si>
  <si>
    <t>EC00014;EC00015;EC00016;EC00012;EC0008;EC00010;EC0001033;EC000273;EC0001311;EC0001032;EC0001036;EC0005;EC0007;EC0001045;EC0001046;EC0001048;EC00061;EC00062;EC0001463;EC000663;EC0001029;EC00097;EC0001317;EC0001320;EC000766;EC0001123;EC0001354;EC0001471;EC000234;EC00017;EC000876;EC000877;EC000570;EC000222;EC000224;EC000473;EC00022</t>
  </si>
  <si>
    <t>Drug metabolism - cytochrome P450</t>
  </si>
  <si>
    <t>P100</t>
  </si>
  <si>
    <t>EC0001276;EC0001138;EC0001159;EC0001290;EC0001286;EC0001158;EC0001271;EC0001272;EC0001143;EC0001281</t>
  </si>
  <si>
    <t>Lipoate metabolism</t>
  </si>
  <si>
    <t>P101</t>
  </si>
  <si>
    <t>EC000431;EC00026</t>
  </si>
  <si>
    <t>Limonene and pinene degradation</t>
  </si>
  <si>
    <t>P102</t>
  </si>
  <si>
    <t>EC000579</t>
  </si>
  <si>
    <t>Caffeine metabolism</t>
  </si>
  <si>
    <t>P103</t>
  </si>
  <si>
    <t>EC00017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</si>
</sst>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3">
    <font>
      <sz val="12"/>
      <color theme="1"/>
      <name val="Aptos Narrow"/>
      <family val="2"/>
      <scheme val="minor"/>
    </font>
    <font>
      <sz val="12"/>
      <color rgb="FF000000"/>
      <name val="Times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34FA-F8B0-5948-89B1-27BFBAA6F66B}">
  <dimension ref="A1:E21"/>
  <sheetViews>
    <sheetView tabSelected="1" workbookViewId="0">
      <selection activeCell="A2" sqref="A2"/>
    </sheetView>
  </sheetViews>
  <sheetFormatPr baseColWidth="10" defaultRowHeight="16"/>
  <cols>
    <col min="3" max="3" width="11.6640625" bestFit="1" customWidth="1"/>
    <col min="5" max="5" width="11.6640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</row>
    <row r="2" spans="1:5">
      <c r="A2" s="1" t="s">
        <v>12</v>
      </c>
      <c r="B2" s="1">
        <v>49</v>
      </c>
      <c r="C2" s="2">
        <v>4.8811000000000002E-3</v>
      </c>
      <c r="D2" s="1">
        <v>4.0685000000000001E-3</v>
      </c>
      <c r="E2" s="3">
        <f>-LOG10(C2)</f>
        <v>2.3114822947808249</v>
      </c>
    </row>
    <row r="3" spans="1:5">
      <c r="A3" s="1" t="s">
        <v>13</v>
      </c>
      <c r="B3" s="1">
        <v>34</v>
      </c>
      <c r="C3" s="2">
        <v>4.9807000000000002E-3</v>
      </c>
      <c r="D3" s="1">
        <v>4.0698000000000002E-3</v>
      </c>
      <c r="E3" s="3">
        <f>-LOG10(C3)</f>
        <v>2.3027096161211178</v>
      </c>
    </row>
    <row r="4" spans="1:5">
      <c r="A4" s="1" t="s">
        <v>6</v>
      </c>
      <c r="B4" s="1">
        <v>32</v>
      </c>
      <c r="C4" s="2">
        <v>4.1777999999999997E-4</v>
      </c>
      <c r="D4" s="1">
        <v>4.0100999999999999E-3</v>
      </c>
      <c r="E4" s="3">
        <f>-LOG10(C4)</f>
        <v>3.3790523544407765</v>
      </c>
    </row>
    <row r="5" spans="1:5">
      <c r="A5" s="1" t="s">
        <v>11</v>
      </c>
      <c r="B5" s="1">
        <v>32</v>
      </c>
      <c r="C5" s="2">
        <v>4.7124999999999997E-3</v>
      </c>
      <c r="D5" s="1">
        <v>4.0663000000000001E-3</v>
      </c>
      <c r="E5" s="3">
        <f>-LOG10(C5)</f>
        <v>2.3267486367861507</v>
      </c>
    </row>
    <row r="6" spans="1:5">
      <c r="A6" s="1" t="s">
        <v>9</v>
      </c>
      <c r="B6" s="1">
        <v>30</v>
      </c>
      <c r="C6" s="2">
        <v>3.1364000000000001E-3</v>
      </c>
      <c r="D6" s="1">
        <v>4.0455999999999999E-3</v>
      </c>
      <c r="E6" s="3">
        <f>-LOG10(C6)</f>
        <v>2.5035685548158</v>
      </c>
    </row>
    <row r="7" spans="1:5">
      <c r="A7" s="1" t="s">
        <v>15</v>
      </c>
      <c r="B7" s="1">
        <v>30</v>
      </c>
      <c r="C7" s="2">
        <v>1.1635E-2</v>
      </c>
      <c r="D7" s="1">
        <v>4.1587000000000004E-3</v>
      </c>
      <c r="E7" s="3">
        <f>-LOG10(C7)</f>
        <v>1.9342336123772512</v>
      </c>
    </row>
    <row r="8" spans="1:5">
      <c r="A8" s="1" t="s">
        <v>23</v>
      </c>
      <c r="B8" s="1">
        <v>30</v>
      </c>
      <c r="C8" s="2">
        <v>2.4031E-2</v>
      </c>
      <c r="D8" s="1">
        <v>4.3290000000000004E-3</v>
      </c>
      <c r="E8" s="3">
        <f>-LOG10(C8)</f>
        <v>1.6192281565599931</v>
      </c>
    </row>
    <row r="9" spans="1:5">
      <c r="A9" s="1" t="s">
        <v>18</v>
      </c>
      <c r="B9" s="1">
        <v>29</v>
      </c>
      <c r="C9" s="2">
        <v>1.4463E-2</v>
      </c>
      <c r="D9" s="1">
        <v>4.1970000000000002E-3</v>
      </c>
      <c r="E9" s="3">
        <f>-LOG10(C9)</f>
        <v>1.8397416137973306</v>
      </c>
    </row>
    <row r="10" spans="1:5">
      <c r="A10" s="1" t="s">
        <v>21</v>
      </c>
      <c r="B10" s="1">
        <v>24</v>
      </c>
      <c r="C10" s="2">
        <v>2.1808000000000001E-2</v>
      </c>
      <c r="D10" s="1">
        <v>4.2984E-3</v>
      </c>
      <c r="E10" s="3">
        <f>-LOG10(C10)</f>
        <v>1.6613841615094016</v>
      </c>
    </row>
    <row r="11" spans="1:5">
      <c r="A11" s="1" t="s">
        <v>8</v>
      </c>
      <c r="B11" s="1">
        <v>20</v>
      </c>
      <c r="C11" s="2">
        <v>2.9036999999999999E-3</v>
      </c>
      <c r="D11" s="1">
        <v>4.0425000000000001E-3</v>
      </c>
      <c r="E11" s="3">
        <f>-LOG10(C11)</f>
        <v>2.5370482554219453</v>
      </c>
    </row>
    <row r="12" spans="1:5">
      <c r="A12" s="1" t="s">
        <v>20</v>
      </c>
      <c r="B12" s="1">
        <v>20</v>
      </c>
      <c r="C12" s="2">
        <v>2.0489E-2</v>
      </c>
      <c r="D12" s="1">
        <v>4.28E-3</v>
      </c>
      <c r="E12" s="3">
        <f>-LOG10(C12)</f>
        <v>1.6884792375519513</v>
      </c>
    </row>
    <row r="13" spans="1:5">
      <c r="A13" s="1" t="s">
        <v>22</v>
      </c>
      <c r="B13" s="1">
        <v>20</v>
      </c>
      <c r="C13" s="2">
        <v>2.1984E-2</v>
      </c>
      <c r="D13" s="1">
        <v>4.3008999999999999E-3</v>
      </c>
      <c r="E13" s="3">
        <f>-LOG10(C13)</f>
        <v>1.6578932846205436</v>
      </c>
    </row>
    <row r="14" spans="1:5">
      <c r="A14" s="1" t="s">
        <v>7</v>
      </c>
      <c r="B14" s="1">
        <v>19</v>
      </c>
      <c r="C14" s="2">
        <v>2.2271000000000001E-3</v>
      </c>
      <c r="D14" s="1">
        <v>4.0337000000000003E-3</v>
      </c>
      <c r="E14" s="3">
        <f>-LOG10(C14)</f>
        <v>2.6522602820799479</v>
      </c>
    </row>
    <row r="15" spans="1:5">
      <c r="A15" s="1" t="s">
        <v>10</v>
      </c>
      <c r="B15" s="1">
        <v>18</v>
      </c>
      <c r="C15" s="2">
        <v>3.5726E-3</v>
      </c>
      <c r="D15" s="1">
        <v>4.0512999999999999E-3</v>
      </c>
      <c r="E15" s="3">
        <f>-LOG10(C15)</f>
        <v>2.4470156061086166</v>
      </c>
    </row>
    <row r="16" spans="1:5">
      <c r="A16" s="1" t="s">
        <v>16</v>
      </c>
      <c r="B16" s="1">
        <v>15</v>
      </c>
      <c r="C16" s="2">
        <v>1.1709000000000001E-2</v>
      </c>
      <c r="D16" s="1">
        <v>4.1596999999999997E-3</v>
      </c>
      <c r="E16" s="3">
        <f>-LOG10(C16)</f>
        <v>1.9314801939990889</v>
      </c>
    </row>
    <row r="17" spans="1:5">
      <c r="A17" s="1" t="s">
        <v>14</v>
      </c>
      <c r="B17" s="1">
        <v>13</v>
      </c>
      <c r="C17" s="2">
        <v>8.2024000000000003E-3</v>
      </c>
      <c r="D17" s="1">
        <v>4.1126000000000001E-3</v>
      </c>
      <c r="E17" s="3">
        <f>-LOG10(C17)</f>
        <v>2.0860590556341334</v>
      </c>
    </row>
    <row r="18" spans="1:5">
      <c r="A18" s="1" t="s">
        <v>4</v>
      </c>
      <c r="B18" s="1">
        <v>11</v>
      </c>
      <c r="C18" s="2">
        <v>1.8646E-4</v>
      </c>
      <c r="D18" s="1">
        <v>4.0071000000000004E-3</v>
      </c>
      <c r="E18" s="3">
        <f>-LOG10(C18)</f>
        <v>3.7294143201151755</v>
      </c>
    </row>
    <row r="19" spans="1:5">
      <c r="A19" s="1" t="s">
        <v>5</v>
      </c>
      <c r="B19" s="1">
        <v>11</v>
      </c>
      <c r="C19" s="2">
        <v>3.5765999999999999E-4</v>
      </c>
      <c r="D19" s="1">
        <v>4.0093000000000004E-3</v>
      </c>
      <c r="E19" s="3">
        <f>-LOG10(C19)</f>
        <v>3.4465296277868789</v>
      </c>
    </row>
    <row r="20" spans="1:5">
      <c r="A20" s="1" t="s">
        <v>17</v>
      </c>
      <c r="B20" s="1">
        <v>9</v>
      </c>
      <c r="C20" s="2">
        <v>1.3122999999999999E-2</v>
      </c>
      <c r="D20" s="1">
        <v>4.1787999999999999E-3</v>
      </c>
      <c r="E20" s="3">
        <f>-LOG10(C20)</f>
        <v>1.881966871171433</v>
      </c>
    </row>
    <row r="21" spans="1:5">
      <c r="A21" s="1" t="s">
        <v>19</v>
      </c>
      <c r="B21" s="1">
        <v>7</v>
      </c>
      <c r="C21" s="2">
        <v>1.4470999999999999E-2</v>
      </c>
      <c r="D21" s="1">
        <v>4.1970999999999996E-3</v>
      </c>
      <c r="E21" s="3">
        <f>-LOG10(C21)</f>
        <v>1.839501456477654</v>
      </c>
    </row>
  </sheetData>
  <autoFilter ref="A1:E21" xr:uid="{D46434FA-F8B0-5948-89B1-27BFBAA6F66B}">
    <sortState xmlns:xlrd2="http://schemas.microsoft.com/office/spreadsheetml/2017/richdata2" ref="A2:E21">
      <sortCondition descending="1" ref="B1:B2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C2E1-2DBB-C649-8AEE-E0F3B43A4914}">
  <dimension ref="A1:O104"/>
  <sheetViews>
    <sheetView workbookViewId="0">
      <selection activeCell="G18" sqref="G18"/>
    </sheetView>
  </sheetViews>
  <sheetFormatPr baseColWidth="10" defaultRowHeight="16"/>
  <sheetData>
    <row r="1" spans="1:15">
      <c r="A1" s="4"/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</row>
    <row r="2" spans="1:15">
      <c r="A2" s="4" t="s">
        <v>4</v>
      </c>
      <c r="B2" s="4">
        <v>20</v>
      </c>
      <c r="C2" s="4">
        <v>12</v>
      </c>
      <c r="D2" s="4">
        <v>11</v>
      </c>
      <c r="E2" s="4">
        <v>8.7529000000000003</v>
      </c>
      <c r="F2" s="4">
        <v>1.8646E-4</v>
      </c>
      <c r="G2" s="4">
        <v>8.2341999999999995E-4</v>
      </c>
      <c r="H2" s="4">
        <v>4.0071000000000004E-3</v>
      </c>
      <c r="I2" s="4">
        <v>0</v>
      </c>
      <c r="J2" s="4">
        <v>0</v>
      </c>
      <c r="K2" s="4">
        <v>1.9205380000000001E-2</v>
      </c>
      <c r="L2" s="4">
        <v>8.481226E-2</v>
      </c>
      <c r="M2" s="4">
        <v>0.41273130000000002</v>
      </c>
      <c r="N2" s="4" t="s">
        <v>39</v>
      </c>
      <c r="O2" s="4" t="s">
        <v>40</v>
      </c>
    </row>
    <row r="3" spans="1:15">
      <c r="A3" s="4" t="s">
        <v>5</v>
      </c>
      <c r="B3" s="4">
        <v>15</v>
      </c>
      <c r="C3" s="4">
        <v>12</v>
      </c>
      <c r="D3" s="4">
        <v>11</v>
      </c>
      <c r="E3" s="4">
        <v>11.305999999999999</v>
      </c>
      <c r="F3" s="4">
        <v>3.5765999999999999E-4</v>
      </c>
      <c r="G3" s="4">
        <v>1.2386999999999999E-3</v>
      </c>
      <c r="H3" s="4">
        <v>4.0093000000000004E-3</v>
      </c>
      <c r="I3" s="4">
        <v>0</v>
      </c>
      <c r="J3" s="4">
        <v>0</v>
      </c>
      <c r="K3" s="4">
        <v>3.6481319999999998E-2</v>
      </c>
      <c r="L3" s="4">
        <v>0.12510869999999999</v>
      </c>
      <c r="M3" s="4">
        <v>0.41273130000000002</v>
      </c>
      <c r="N3" s="4" t="s">
        <v>41</v>
      </c>
      <c r="O3" s="4" t="s">
        <v>42</v>
      </c>
    </row>
    <row r="4" spans="1:15">
      <c r="A4" s="4" t="s">
        <v>6</v>
      </c>
      <c r="B4" s="4">
        <v>70</v>
      </c>
      <c r="C4" s="4">
        <v>41</v>
      </c>
      <c r="D4" s="4">
        <v>32</v>
      </c>
      <c r="E4" s="4">
        <v>35.012</v>
      </c>
      <c r="F4" s="4">
        <v>4.1777999999999997E-4</v>
      </c>
      <c r="G4" s="4">
        <v>8.3955E-4</v>
      </c>
      <c r="H4" s="4">
        <v>4.0100999999999999E-3</v>
      </c>
      <c r="I4" s="4">
        <v>0</v>
      </c>
      <c r="J4" s="4">
        <v>0</v>
      </c>
      <c r="K4" s="4">
        <v>4.2195780000000002E-2</v>
      </c>
      <c r="L4" s="4">
        <v>8.5634100000000005E-2</v>
      </c>
      <c r="M4" s="4">
        <v>0.41273130000000002</v>
      </c>
      <c r="N4" s="4" t="s">
        <v>43</v>
      </c>
      <c r="O4" s="4" t="s">
        <v>44</v>
      </c>
    </row>
    <row r="5" spans="1:15">
      <c r="A5" s="4" t="s">
        <v>7</v>
      </c>
      <c r="B5" s="4">
        <v>34</v>
      </c>
      <c r="C5" s="4">
        <v>21</v>
      </c>
      <c r="D5" s="4">
        <v>19</v>
      </c>
      <c r="E5" s="4">
        <v>17.506</v>
      </c>
      <c r="F5" s="4">
        <v>2.2271000000000001E-3</v>
      </c>
      <c r="G5" s="4">
        <v>5.2518E-3</v>
      </c>
      <c r="H5" s="4">
        <v>4.0337000000000003E-3</v>
      </c>
      <c r="I5" s="4">
        <v>0</v>
      </c>
      <c r="J5" s="4">
        <v>0</v>
      </c>
      <c r="K5" s="4">
        <v>0.22270999999999999</v>
      </c>
      <c r="L5" s="4">
        <v>0.52517999999999998</v>
      </c>
      <c r="M5" s="4">
        <v>0.41273130000000002</v>
      </c>
      <c r="N5" s="4" t="s">
        <v>45</v>
      </c>
      <c r="O5" s="4" t="s">
        <v>46</v>
      </c>
    </row>
    <row r="6" spans="1:15">
      <c r="A6" s="4" t="s">
        <v>8</v>
      </c>
      <c r="B6" s="4">
        <v>65</v>
      </c>
      <c r="C6" s="4">
        <v>23</v>
      </c>
      <c r="D6" s="4">
        <v>20</v>
      </c>
      <c r="E6" s="4">
        <v>16.047000000000001</v>
      </c>
      <c r="F6" s="4">
        <v>2.9036999999999999E-3</v>
      </c>
      <c r="G6" s="4">
        <v>6.9439999999999997E-3</v>
      </c>
      <c r="H6" s="4">
        <v>4.0425000000000001E-3</v>
      </c>
      <c r="I6" s="4">
        <v>0</v>
      </c>
      <c r="J6" s="4">
        <v>0</v>
      </c>
      <c r="K6" s="4">
        <v>0.28746630000000001</v>
      </c>
      <c r="L6" s="4">
        <v>0.68051200000000001</v>
      </c>
      <c r="M6" s="4">
        <v>0.41273130000000002</v>
      </c>
      <c r="N6" s="4" t="s">
        <v>47</v>
      </c>
      <c r="O6" s="4" t="s">
        <v>48</v>
      </c>
    </row>
    <row r="7" spans="1:15">
      <c r="A7" s="4" t="s">
        <v>9</v>
      </c>
      <c r="B7" s="4">
        <v>80</v>
      </c>
      <c r="C7" s="4">
        <v>43</v>
      </c>
      <c r="D7" s="4">
        <v>30</v>
      </c>
      <c r="E7" s="4">
        <v>30.271000000000001</v>
      </c>
      <c r="F7" s="4">
        <v>3.1364000000000001E-3</v>
      </c>
      <c r="G7" s="4">
        <v>5.9096000000000001E-3</v>
      </c>
      <c r="H7" s="4">
        <v>4.0455999999999999E-3</v>
      </c>
      <c r="I7" s="4">
        <v>0</v>
      </c>
      <c r="J7" s="4">
        <v>0</v>
      </c>
      <c r="K7" s="4">
        <v>0.30736720000000001</v>
      </c>
      <c r="L7" s="4">
        <v>0.58505039999999997</v>
      </c>
      <c r="M7" s="4">
        <v>0.41273130000000002</v>
      </c>
      <c r="N7" s="4" t="s">
        <v>49</v>
      </c>
      <c r="O7" s="4" t="s">
        <v>50</v>
      </c>
    </row>
    <row r="8" spans="1:15">
      <c r="A8" s="4" t="s">
        <v>10</v>
      </c>
      <c r="B8" s="4">
        <v>33</v>
      </c>
      <c r="C8" s="4">
        <v>21</v>
      </c>
      <c r="D8" s="4">
        <v>18</v>
      </c>
      <c r="E8" s="4">
        <v>19.693999999999999</v>
      </c>
      <c r="F8" s="4">
        <v>3.5726E-3</v>
      </c>
      <c r="G8" s="4">
        <v>7.7377000000000001E-3</v>
      </c>
      <c r="H8" s="4">
        <v>4.0512999999999999E-3</v>
      </c>
      <c r="I8" s="4">
        <v>0</v>
      </c>
      <c r="J8" s="4">
        <v>0</v>
      </c>
      <c r="K8" s="4">
        <v>0.34654220000000002</v>
      </c>
      <c r="L8" s="4">
        <v>0.75055689999999997</v>
      </c>
      <c r="M8" s="4">
        <v>0.41273130000000002</v>
      </c>
      <c r="N8" s="4" t="s">
        <v>51</v>
      </c>
      <c r="O8" s="4" t="s">
        <v>52</v>
      </c>
    </row>
    <row r="9" spans="1:15">
      <c r="A9" s="4" t="s">
        <v>11</v>
      </c>
      <c r="B9" s="4">
        <v>37</v>
      </c>
      <c r="C9" s="4">
        <v>34</v>
      </c>
      <c r="D9" s="4">
        <v>32</v>
      </c>
      <c r="E9" s="4">
        <v>18.234999999999999</v>
      </c>
      <c r="F9" s="4">
        <v>4.7124999999999997E-3</v>
      </c>
      <c r="G9" s="4">
        <v>1.0269E-2</v>
      </c>
      <c r="H9" s="4">
        <v>4.0663000000000001E-3</v>
      </c>
      <c r="I9" s="4">
        <v>0</v>
      </c>
      <c r="J9" s="4">
        <v>0</v>
      </c>
      <c r="K9" s="4">
        <v>0.45240000000000002</v>
      </c>
      <c r="L9" s="4">
        <v>0.96528599999999998</v>
      </c>
      <c r="M9" s="4">
        <v>0.41273130000000002</v>
      </c>
      <c r="N9" s="4" t="s">
        <v>53</v>
      </c>
      <c r="O9" s="4" t="s">
        <v>54</v>
      </c>
    </row>
    <row r="10" spans="1:15">
      <c r="A10" s="4" t="s">
        <v>12</v>
      </c>
      <c r="B10" s="4">
        <v>114</v>
      </c>
      <c r="C10" s="4">
        <v>66</v>
      </c>
      <c r="D10" s="4">
        <v>49</v>
      </c>
      <c r="E10" s="4">
        <v>43.034999999999997</v>
      </c>
      <c r="F10" s="4">
        <v>4.8811000000000002E-3</v>
      </c>
      <c r="G10" s="4">
        <v>8.0976999999999993E-3</v>
      </c>
      <c r="H10" s="4">
        <v>4.0685000000000001E-3</v>
      </c>
      <c r="I10" s="4">
        <v>100</v>
      </c>
      <c r="J10" s="4">
        <v>1</v>
      </c>
      <c r="K10" s="4">
        <v>0.46370450000000002</v>
      </c>
      <c r="L10" s="4">
        <v>0.77737920000000005</v>
      </c>
      <c r="M10" s="4">
        <v>0.41273130000000002</v>
      </c>
      <c r="N10" s="4" t="s">
        <v>55</v>
      </c>
      <c r="O10" s="4" t="s">
        <v>56</v>
      </c>
    </row>
    <row r="11" spans="1:15">
      <c r="A11" s="4" t="s">
        <v>13</v>
      </c>
      <c r="B11" s="4">
        <v>85</v>
      </c>
      <c r="C11" s="4">
        <v>41</v>
      </c>
      <c r="D11" s="4">
        <v>34</v>
      </c>
      <c r="E11" s="4">
        <v>36.470999999999997</v>
      </c>
      <c r="F11" s="4">
        <v>4.9807000000000002E-3</v>
      </c>
      <c r="G11" s="4">
        <v>8.6300999999999999E-3</v>
      </c>
      <c r="H11" s="4">
        <v>4.0698000000000002E-3</v>
      </c>
      <c r="I11" s="4">
        <v>100</v>
      </c>
      <c r="J11" s="4">
        <v>1</v>
      </c>
      <c r="K11" s="4">
        <v>0.46818579999999999</v>
      </c>
      <c r="L11" s="4">
        <v>0.81985949999999996</v>
      </c>
      <c r="M11" s="4">
        <v>0.41273130000000002</v>
      </c>
      <c r="N11" s="4" t="s">
        <v>57</v>
      </c>
      <c r="O11" s="4" t="s">
        <v>58</v>
      </c>
    </row>
    <row r="12" spans="1:15">
      <c r="A12" s="4" t="s">
        <v>14</v>
      </c>
      <c r="B12" s="4">
        <v>106</v>
      </c>
      <c r="C12" s="4">
        <v>17</v>
      </c>
      <c r="D12" s="4">
        <v>13</v>
      </c>
      <c r="E12" s="4">
        <v>15.318</v>
      </c>
      <c r="F12" s="4">
        <v>8.2024000000000003E-3</v>
      </c>
      <c r="G12" s="4">
        <v>1.8148000000000001E-2</v>
      </c>
      <c r="H12" s="4">
        <v>4.1126000000000001E-3</v>
      </c>
      <c r="I12" s="4">
        <v>0</v>
      </c>
      <c r="J12" s="4">
        <v>0</v>
      </c>
      <c r="K12" s="4">
        <v>0.76282320000000003</v>
      </c>
      <c r="L12" s="4">
        <v>1</v>
      </c>
      <c r="M12" s="4">
        <v>0.41273130000000002</v>
      </c>
      <c r="N12" s="4" t="s">
        <v>59</v>
      </c>
      <c r="O12" s="4" t="s">
        <v>60</v>
      </c>
    </row>
    <row r="13" spans="1:15">
      <c r="A13" s="4" t="s">
        <v>15</v>
      </c>
      <c r="B13" s="4">
        <v>49</v>
      </c>
      <c r="C13" s="4">
        <v>34</v>
      </c>
      <c r="D13" s="4">
        <v>30</v>
      </c>
      <c r="E13" s="4">
        <v>15.682</v>
      </c>
      <c r="F13" s="4">
        <v>1.1635E-2</v>
      </c>
      <c r="G13" s="4">
        <v>2.4648E-2</v>
      </c>
      <c r="H13" s="4">
        <v>4.1587000000000004E-3</v>
      </c>
      <c r="I13" s="4">
        <v>0</v>
      </c>
      <c r="J13" s="4">
        <v>0</v>
      </c>
      <c r="K13" s="4">
        <v>1</v>
      </c>
      <c r="L13" s="4">
        <v>1</v>
      </c>
      <c r="M13" s="4">
        <v>0.41273130000000002</v>
      </c>
      <c r="N13" s="4" t="s">
        <v>61</v>
      </c>
      <c r="O13" s="4" t="s">
        <v>62</v>
      </c>
    </row>
    <row r="14" spans="1:15">
      <c r="A14" s="4" t="s">
        <v>16</v>
      </c>
      <c r="B14" s="4">
        <v>55</v>
      </c>
      <c r="C14" s="4">
        <v>17</v>
      </c>
      <c r="D14" s="4">
        <v>15</v>
      </c>
      <c r="E14" s="4">
        <v>8.0235000000000003</v>
      </c>
      <c r="F14" s="4">
        <v>1.1709000000000001E-2</v>
      </c>
      <c r="G14" s="4">
        <v>3.2698999999999999E-2</v>
      </c>
      <c r="H14" s="4">
        <v>4.1596999999999997E-3</v>
      </c>
      <c r="I14" s="4">
        <v>0</v>
      </c>
      <c r="J14" s="4">
        <v>0</v>
      </c>
      <c r="K14" s="4">
        <v>1</v>
      </c>
      <c r="L14" s="4">
        <v>1</v>
      </c>
      <c r="M14" s="4">
        <v>0.41273130000000002</v>
      </c>
      <c r="N14" s="4" t="s">
        <v>63</v>
      </c>
      <c r="O14" s="4" t="s">
        <v>64</v>
      </c>
    </row>
    <row r="15" spans="1:15">
      <c r="A15" s="4" t="s">
        <v>17</v>
      </c>
      <c r="B15" s="4">
        <v>31</v>
      </c>
      <c r="C15" s="4">
        <v>12</v>
      </c>
      <c r="D15" s="4">
        <v>9</v>
      </c>
      <c r="E15" s="4">
        <v>7.2941000000000003</v>
      </c>
      <c r="F15" s="4">
        <v>1.3122999999999999E-2</v>
      </c>
      <c r="G15" s="4">
        <v>3.7725000000000002E-2</v>
      </c>
      <c r="H15" s="4">
        <v>4.1787999999999999E-3</v>
      </c>
      <c r="I15" s="4">
        <v>0</v>
      </c>
      <c r="J15" s="4">
        <v>0</v>
      </c>
      <c r="K15" s="4">
        <v>1</v>
      </c>
      <c r="L15" s="4">
        <v>1</v>
      </c>
      <c r="M15" s="4">
        <v>0.41273130000000002</v>
      </c>
      <c r="N15" s="4" t="s">
        <v>65</v>
      </c>
      <c r="O15" s="4" t="s">
        <v>66</v>
      </c>
    </row>
    <row r="16" spans="1:15">
      <c r="A16" s="4" t="s">
        <v>18</v>
      </c>
      <c r="B16" s="4">
        <v>156</v>
      </c>
      <c r="C16" s="4">
        <v>41</v>
      </c>
      <c r="D16" s="4">
        <v>29</v>
      </c>
      <c r="E16" s="4">
        <v>30.635000000000002</v>
      </c>
      <c r="F16" s="4">
        <v>1.4463E-2</v>
      </c>
      <c r="G16" s="4">
        <v>2.4485E-2</v>
      </c>
      <c r="H16" s="4">
        <v>4.1970000000000002E-3</v>
      </c>
      <c r="I16" s="4">
        <v>0</v>
      </c>
      <c r="J16" s="4">
        <v>0</v>
      </c>
      <c r="K16" s="4">
        <v>1</v>
      </c>
      <c r="L16" s="4">
        <v>1</v>
      </c>
      <c r="M16" s="4">
        <v>0.41273130000000002</v>
      </c>
      <c r="N16" s="4" t="s">
        <v>67</v>
      </c>
      <c r="O16" s="4" t="s">
        <v>68</v>
      </c>
    </row>
    <row r="17" spans="1:15">
      <c r="A17" s="4" t="s">
        <v>19</v>
      </c>
      <c r="B17" s="4">
        <v>35</v>
      </c>
      <c r="C17" s="4">
        <v>11</v>
      </c>
      <c r="D17" s="4">
        <v>7</v>
      </c>
      <c r="E17" s="4">
        <v>9.8470999999999993</v>
      </c>
      <c r="F17" s="4">
        <v>1.4470999999999999E-2</v>
      </c>
      <c r="G17" s="4">
        <v>3.5817000000000002E-2</v>
      </c>
      <c r="H17" s="4">
        <v>4.1970999999999996E-3</v>
      </c>
      <c r="I17" s="4">
        <v>0</v>
      </c>
      <c r="J17" s="4">
        <v>0</v>
      </c>
      <c r="K17" s="4">
        <v>1</v>
      </c>
      <c r="L17" s="4">
        <v>1</v>
      </c>
      <c r="M17" s="4">
        <v>0.41273130000000002</v>
      </c>
      <c r="N17" s="4" t="s">
        <v>69</v>
      </c>
      <c r="O17" s="4" t="s">
        <v>70</v>
      </c>
    </row>
    <row r="18" spans="1:15">
      <c r="A18" s="4" t="s">
        <v>20</v>
      </c>
      <c r="B18" s="4">
        <v>59</v>
      </c>
      <c r="C18" s="4">
        <v>27</v>
      </c>
      <c r="D18" s="4">
        <v>20</v>
      </c>
      <c r="E18" s="4">
        <v>12.765000000000001</v>
      </c>
      <c r="F18" s="4">
        <v>2.0489E-2</v>
      </c>
      <c r="G18" s="4">
        <v>4.3909999999999998E-2</v>
      </c>
      <c r="H18" s="4">
        <v>4.28E-3</v>
      </c>
      <c r="I18" s="4">
        <v>0</v>
      </c>
      <c r="J18" s="4">
        <v>0</v>
      </c>
      <c r="K18" s="4">
        <v>1</v>
      </c>
      <c r="L18" s="4">
        <v>1</v>
      </c>
      <c r="M18" s="4">
        <v>0.41273130000000002</v>
      </c>
      <c r="N18" s="4" t="s">
        <v>71</v>
      </c>
      <c r="O18" s="4" t="s">
        <v>72</v>
      </c>
    </row>
    <row r="19" spans="1:15">
      <c r="A19" s="4" t="s">
        <v>21</v>
      </c>
      <c r="B19" s="4">
        <v>45</v>
      </c>
      <c r="C19" s="4">
        <v>29</v>
      </c>
      <c r="D19" s="4">
        <v>24</v>
      </c>
      <c r="E19" s="4">
        <v>20.059000000000001</v>
      </c>
      <c r="F19" s="4">
        <v>2.1808000000000001E-2</v>
      </c>
      <c r="G19" s="4">
        <v>4.0113999999999997E-2</v>
      </c>
      <c r="H19" s="4">
        <v>4.2984E-3</v>
      </c>
      <c r="I19" s="4">
        <v>100</v>
      </c>
      <c r="J19" s="4">
        <v>1</v>
      </c>
      <c r="K19" s="4">
        <v>1</v>
      </c>
      <c r="L19" s="4">
        <v>1</v>
      </c>
      <c r="M19" s="4">
        <v>0.41273130000000002</v>
      </c>
      <c r="N19" s="4" t="s">
        <v>73</v>
      </c>
      <c r="O19" s="4" t="s">
        <v>74</v>
      </c>
    </row>
    <row r="20" spans="1:15">
      <c r="A20" s="4" t="s">
        <v>22</v>
      </c>
      <c r="B20" s="4">
        <v>52</v>
      </c>
      <c r="C20" s="4">
        <v>23</v>
      </c>
      <c r="D20" s="4">
        <v>20</v>
      </c>
      <c r="E20" s="4">
        <v>18.234999999999999</v>
      </c>
      <c r="F20" s="4">
        <v>2.1984E-2</v>
      </c>
      <c r="G20" s="4">
        <v>4.1570000000000003E-2</v>
      </c>
      <c r="H20" s="4">
        <v>4.3008999999999999E-3</v>
      </c>
      <c r="I20" s="4">
        <v>23</v>
      </c>
      <c r="J20" s="4">
        <v>0.23</v>
      </c>
      <c r="K20" s="4">
        <v>1</v>
      </c>
      <c r="L20" s="4">
        <v>1</v>
      </c>
      <c r="M20" s="4">
        <v>0.41273130000000002</v>
      </c>
      <c r="N20" s="4" t="s">
        <v>75</v>
      </c>
      <c r="O20" s="4" t="s">
        <v>76</v>
      </c>
    </row>
    <row r="21" spans="1:15">
      <c r="A21" s="4" t="s">
        <v>23</v>
      </c>
      <c r="B21" s="4">
        <v>88</v>
      </c>
      <c r="C21" s="4">
        <v>45</v>
      </c>
      <c r="D21" s="4">
        <v>30</v>
      </c>
      <c r="E21" s="4">
        <v>32.459000000000003</v>
      </c>
      <c r="F21" s="4">
        <v>2.4031E-2</v>
      </c>
      <c r="G21" s="4">
        <v>3.8616999999999999E-2</v>
      </c>
      <c r="H21" s="4">
        <v>4.3296000000000003E-3</v>
      </c>
      <c r="I21" s="4">
        <v>41</v>
      </c>
      <c r="J21" s="4">
        <v>0.41</v>
      </c>
      <c r="K21" s="4">
        <v>1</v>
      </c>
      <c r="L21" s="4">
        <v>1</v>
      </c>
      <c r="M21" s="4">
        <v>0.41273130000000002</v>
      </c>
      <c r="N21" s="4" t="s">
        <v>77</v>
      </c>
      <c r="O21" s="4" t="s">
        <v>78</v>
      </c>
    </row>
    <row r="22" spans="1:15">
      <c r="A22" s="4" t="s">
        <v>79</v>
      </c>
      <c r="B22" s="4">
        <v>69</v>
      </c>
      <c r="C22" s="4">
        <v>29</v>
      </c>
      <c r="D22" s="4">
        <v>20</v>
      </c>
      <c r="E22" s="4">
        <v>16.776</v>
      </c>
      <c r="F22" s="4">
        <v>2.9116E-2</v>
      </c>
      <c r="G22" s="4">
        <v>5.4829999999999997E-2</v>
      </c>
      <c r="H22" s="4">
        <v>4.4019000000000003E-3</v>
      </c>
      <c r="I22" s="4">
        <v>0</v>
      </c>
      <c r="J22" s="4">
        <v>0</v>
      </c>
      <c r="K22" s="4">
        <v>1</v>
      </c>
      <c r="L22" s="4">
        <v>1</v>
      </c>
      <c r="M22" s="4">
        <v>0.41273130000000002</v>
      </c>
      <c r="N22" s="4" t="s">
        <v>80</v>
      </c>
      <c r="O22" s="4" t="s">
        <v>81</v>
      </c>
    </row>
    <row r="23" spans="1:15">
      <c r="A23" s="4" t="s">
        <v>82</v>
      </c>
      <c r="B23" s="4">
        <v>33</v>
      </c>
      <c r="C23" s="4">
        <v>25</v>
      </c>
      <c r="D23" s="4">
        <v>23</v>
      </c>
      <c r="E23" s="4">
        <v>11.670999999999999</v>
      </c>
      <c r="F23" s="4">
        <v>3.8109999999999998E-2</v>
      </c>
      <c r="G23" s="4">
        <v>7.7859999999999999E-2</v>
      </c>
      <c r="H23" s="4">
        <v>4.5329000000000003E-3</v>
      </c>
      <c r="I23" s="4">
        <v>0</v>
      </c>
      <c r="J23" s="4">
        <v>0</v>
      </c>
      <c r="K23" s="4">
        <v>1</v>
      </c>
      <c r="L23" s="4">
        <v>1</v>
      </c>
      <c r="M23" s="4">
        <v>0.41273130000000002</v>
      </c>
      <c r="N23" s="4" t="s">
        <v>83</v>
      </c>
      <c r="O23" s="4" t="s">
        <v>84</v>
      </c>
    </row>
    <row r="24" spans="1:15">
      <c r="A24" s="4" t="s">
        <v>85</v>
      </c>
      <c r="B24" s="4">
        <v>72</v>
      </c>
      <c r="C24" s="4">
        <v>9</v>
      </c>
      <c r="D24" s="4">
        <v>7</v>
      </c>
      <c r="E24" s="4">
        <v>4.0118</v>
      </c>
      <c r="F24" s="4">
        <v>3.934E-2</v>
      </c>
      <c r="G24" s="4">
        <v>0.12328</v>
      </c>
      <c r="H24" s="4">
        <v>4.5510999999999998E-3</v>
      </c>
      <c r="I24" s="4">
        <v>0</v>
      </c>
      <c r="J24" s="4">
        <v>0</v>
      </c>
      <c r="K24" s="4">
        <v>1</v>
      </c>
      <c r="L24" s="4">
        <v>1</v>
      </c>
      <c r="M24" s="4">
        <v>0.41273130000000002</v>
      </c>
      <c r="N24" s="4" t="s">
        <v>86</v>
      </c>
      <c r="O24" s="4" t="s">
        <v>87</v>
      </c>
    </row>
    <row r="25" spans="1:15">
      <c r="A25" s="4" t="s">
        <v>88</v>
      </c>
      <c r="B25" s="4">
        <v>6</v>
      </c>
      <c r="C25" s="4">
        <v>4</v>
      </c>
      <c r="D25" s="4">
        <v>4</v>
      </c>
      <c r="E25" s="4">
        <v>4.0118</v>
      </c>
      <c r="F25" s="4">
        <v>3.934E-2</v>
      </c>
      <c r="G25" s="4">
        <v>0.12328</v>
      </c>
      <c r="H25" s="4">
        <v>4.5510999999999998E-3</v>
      </c>
      <c r="I25" s="4">
        <v>100</v>
      </c>
      <c r="J25" s="4">
        <v>1</v>
      </c>
      <c r="K25" s="4">
        <v>1</v>
      </c>
      <c r="L25" s="4">
        <v>1</v>
      </c>
      <c r="M25" s="4">
        <v>0.41273130000000002</v>
      </c>
      <c r="N25" s="4" t="s">
        <v>89</v>
      </c>
      <c r="O25" s="4" t="s">
        <v>90</v>
      </c>
    </row>
    <row r="26" spans="1:15">
      <c r="A26" s="4" t="s">
        <v>91</v>
      </c>
      <c r="B26" s="4">
        <v>10</v>
      </c>
      <c r="C26" s="4">
        <v>10</v>
      </c>
      <c r="D26" s="4">
        <v>10</v>
      </c>
      <c r="E26" s="4">
        <v>9.1175999999999995</v>
      </c>
      <c r="F26" s="4">
        <v>4.2179000000000001E-2</v>
      </c>
      <c r="G26" s="4">
        <v>9.2401999999999998E-2</v>
      </c>
      <c r="H26" s="4">
        <v>4.5935000000000004E-3</v>
      </c>
      <c r="I26" s="4">
        <v>0</v>
      </c>
      <c r="J26" s="4">
        <v>0</v>
      </c>
      <c r="K26" s="4">
        <v>1</v>
      </c>
      <c r="L26" s="4">
        <v>1</v>
      </c>
      <c r="M26" s="4">
        <v>0.41273130000000002</v>
      </c>
      <c r="N26" s="4" t="s">
        <v>92</v>
      </c>
      <c r="O26" s="4" t="s">
        <v>93</v>
      </c>
    </row>
    <row r="27" spans="1:15">
      <c r="A27" s="4" t="s">
        <v>94</v>
      </c>
      <c r="B27" s="4">
        <v>43</v>
      </c>
      <c r="C27" s="4">
        <v>11</v>
      </c>
      <c r="D27" s="4">
        <v>10</v>
      </c>
      <c r="E27" s="4">
        <v>8.3881999999999994</v>
      </c>
      <c r="F27" s="4">
        <v>4.8890999999999997E-2</v>
      </c>
      <c r="G27" s="4">
        <v>0.10775</v>
      </c>
      <c r="H27" s="4">
        <v>4.6953000000000003E-3</v>
      </c>
      <c r="I27" s="4">
        <v>0</v>
      </c>
      <c r="J27" s="4">
        <v>0</v>
      </c>
      <c r="K27" s="4">
        <v>1</v>
      </c>
      <c r="L27" s="4">
        <v>1</v>
      </c>
      <c r="M27" s="4">
        <v>0.41273130000000002</v>
      </c>
      <c r="N27" s="4" t="s">
        <v>95</v>
      </c>
      <c r="O27" s="4" t="s">
        <v>96</v>
      </c>
    </row>
    <row r="28" spans="1:15">
      <c r="A28" s="4" t="s">
        <v>97</v>
      </c>
      <c r="B28" s="4">
        <v>74</v>
      </c>
      <c r="C28" s="4">
        <v>17</v>
      </c>
      <c r="D28" s="4">
        <v>11</v>
      </c>
      <c r="E28" s="4">
        <v>12.035</v>
      </c>
      <c r="F28" s="4">
        <v>5.1735999999999997E-2</v>
      </c>
      <c r="G28" s="4">
        <v>0.10038999999999999</v>
      </c>
      <c r="H28" s="4">
        <v>4.7391999999999998E-3</v>
      </c>
      <c r="I28" s="4">
        <v>0</v>
      </c>
      <c r="J28" s="4">
        <v>0</v>
      </c>
      <c r="K28" s="4">
        <v>1</v>
      </c>
      <c r="L28" s="4">
        <v>1</v>
      </c>
      <c r="M28" s="4">
        <v>0.41273130000000002</v>
      </c>
      <c r="N28" s="4" t="s">
        <v>98</v>
      </c>
      <c r="O28" s="4" t="s">
        <v>99</v>
      </c>
    </row>
    <row r="29" spans="1:15">
      <c r="A29" s="4" t="s">
        <v>100</v>
      </c>
      <c r="B29" s="4">
        <v>28</v>
      </c>
      <c r="C29" s="4">
        <v>21</v>
      </c>
      <c r="D29" s="4">
        <v>13</v>
      </c>
      <c r="E29" s="4">
        <v>14.952999999999999</v>
      </c>
      <c r="F29" s="4">
        <v>5.7840999999999997E-2</v>
      </c>
      <c r="G29" s="4">
        <v>0.10387</v>
      </c>
      <c r="H29" s="4">
        <v>4.8348999999999996E-3</v>
      </c>
      <c r="I29" s="4">
        <v>100</v>
      </c>
      <c r="J29" s="4">
        <v>1</v>
      </c>
      <c r="K29" s="4">
        <v>1</v>
      </c>
      <c r="L29" s="4">
        <v>1</v>
      </c>
      <c r="M29" s="4">
        <v>0.41273130000000002</v>
      </c>
      <c r="N29" s="4" t="s">
        <v>101</v>
      </c>
      <c r="O29" s="4" t="s">
        <v>102</v>
      </c>
    </row>
    <row r="30" spans="1:15">
      <c r="A30" s="4" t="s">
        <v>103</v>
      </c>
      <c r="B30" s="4">
        <v>67</v>
      </c>
      <c r="C30" s="4">
        <v>28</v>
      </c>
      <c r="D30" s="4">
        <v>19</v>
      </c>
      <c r="E30" s="4">
        <v>15.318</v>
      </c>
      <c r="F30" s="4">
        <v>7.3718000000000006E-2</v>
      </c>
      <c r="G30" s="4">
        <v>0.1275</v>
      </c>
      <c r="H30" s="4">
        <v>5.0933999999999997E-3</v>
      </c>
      <c r="I30" s="4">
        <v>0</v>
      </c>
      <c r="J30" s="4">
        <v>0</v>
      </c>
      <c r="K30" s="4">
        <v>1</v>
      </c>
      <c r="L30" s="4">
        <v>1</v>
      </c>
      <c r="M30" s="4">
        <v>0.41273130000000002</v>
      </c>
      <c r="N30" s="4" t="s">
        <v>104</v>
      </c>
      <c r="O30" s="4" t="s">
        <v>105</v>
      </c>
    </row>
    <row r="31" spans="1:15">
      <c r="A31" s="4" t="s">
        <v>106</v>
      </c>
      <c r="B31" s="4">
        <v>63</v>
      </c>
      <c r="C31" s="4">
        <v>10</v>
      </c>
      <c r="D31" s="4">
        <v>8</v>
      </c>
      <c r="E31" s="4">
        <v>9.8470999999999993</v>
      </c>
      <c r="F31" s="4">
        <v>8.0551999999999999E-2</v>
      </c>
      <c r="G31" s="4">
        <v>0.15525</v>
      </c>
      <c r="H31" s="4">
        <v>5.2091000000000004E-3</v>
      </c>
      <c r="I31" s="4">
        <v>0</v>
      </c>
      <c r="J31" s="4">
        <v>0</v>
      </c>
      <c r="K31" s="4">
        <v>1</v>
      </c>
      <c r="L31" s="4">
        <v>1</v>
      </c>
      <c r="M31" s="4">
        <v>0.41273130000000002</v>
      </c>
      <c r="N31" s="4" t="s">
        <v>107</v>
      </c>
      <c r="O31" s="4" t="s">
        <v>108</v>
      </c>
    </row>
    <row r="32" spans="1:15">
      <c r="A32" s="4" t="s">
        <v>109</v>
      </c>
      <c r="B32" s="4">
        <v>55</v>
      </c>
      <c r="C32" s="4">
        <v>3</v>
      </c>
      <c r="D32" s="4">
        <v>2</v>
      </c>
      <c r="E32" s="4">
        <v>2.9176000000000002</v>
      </c>
      <c r="F32" s="4">
        <v>8.9455000000000007E-2</v>
      </c>
      <c r="G32" s="4">
        <v>0.26096999999999998</v>
      </c>
      <c r="H32" s="4">
        <v>5.3641000000000001E-3</v>
      </c>
      <c r="I32" s="4">
        <v>0</v>
      </c>
      <c r="J32" s="4">
        <v>0</v>
      </c>
      <c r="K32" s="4">
        <v>1</v>
      </c>
      <c r="L32" s="4">
        <v>1</v>
      </c>
      <c r="M32" s="4">
        <v>0.41273130000000002</v>
      </c>
      <c r="N32" s="4" t="s">
        <v>110</v>
      </c>
      <c r="O32" s="4" t="s">
        <v>111</v>
      </c>
    </row>
    <row r="33" spans="1:15">
      <c r="A33" s="4" t="s">
        <v>112</v>
      </c>
      <c r="B33" s="4">
        <v>94</v>
      </c>
      <c r="C33" s="4">
        <v>37</v>
      </c>
      <c r="D33" s="4">
        <v>24</v>
      </c>
      <c r="E33" s="4">
        <v>28.446999999999999</v>
      </c>
      <c r="F33" s="4">
        <v>9.5283000000000007E-2</v>
      </c>
      <c r="G33" s="4">
        <v>0.13966999999999999</v>
      </c>
      <c r="H33" s="4">
        <v>5.4682000000000003E-3</v>
      </c>
      <c r="I33" s="4">
        <v>0</v>
      </c>
      <c r="J33" s="4">
        <v>0</v>
      </c>
      <c r="K33" s="4">
        <v>1</v>
      </c>
      <c r="L33" s="4">
        <v>1</v>
      </c>
      <c r="M33" s="4">
        <v>0.41273130000000002</v>
      </c>
      <c r="N33" s="4" t="s">
        <v>113</v>
      </c>
      <c r="O33" s="4" t="s">
        <v>114</v>
      </c>
    </row>
    <row r="34" spans="1:15">
      <c r="A34" s="4" t="s">
        <v>115</v>
      </c>
      <c r="B34" s="4">
        <v>36</v>
      </c>
      <c r="C34" s="4">
        <v>5</v>
      </c>
      <c r="D34" s="4">
        <v>3</v>
      </c>
      <c r="E34" s="4">
        <v>2.1882000000000001</v>
      </c>
      <c r="F34" s="4">
        <v>0.1017</v>
      </c>
      <c r="G34" s="4">
        <v>0.32207000000000002</v>
      </c>
      <c r="H34" s="4">
        <v>5.5853999999999999E-3</v>
      </c>
      <c r="I34" s="4">
        <v>0</v>
      </c>
      <c r="J34" s="4">
        <v>0</v>
      </c>
      <c r="K34" s="4">
        <v>1</v>
      </c>
      <c r="L34" s="4">
        <v>1</v>
      </c>
      <c r="M34" s="4">
        <v>0.41273130000000002</v>
      </c>
      <c r="N34" s="4" t="s">
        <v>116</v>
      </c>
      <c r="O34" s="4" t="s">
        <v>117</v>
      </c>
    </row>
    <row r="35" spans="1:15">
      <c r="A35" s="4" t="s">
        <v>118</v>
      </c>
      <c r="B35" s="4">
        <v>68</v>
      </c>
      <c r="C35" s="4">
        <v>7</v>
      </c>
      <c r="D35" s="4">
        <v>6</v>
      </c>
      <c r="E35" s="4">
        <v>4.7412000000000001</v>
      </c>
      <c r="F35" s="4">
        <v>0.10551000000000001</v>
      </c>
      <c r="G35" s="4">
        <v>0.24384</v>
      </c>
      <c r="H35" s="4">
        <v>5.6560999999999998E-3</v>
      </c>
      <c r="I35" s="4">
        <v>0</v>
      </c>
      <c r="J35" s="4">
        <v>0</v>
      </c>
      <c r="K35" s="4">
        <v>1</v>
      </c>
      <c r="L35" s="4">
        <v>1</v>
      </c>
      <c r="M35" s="4">
        <v>0.41273130000000002</v>
      </c>
      <c r="N35" s="4" t="s">
        <v>119</v>
      </c>
      <c r="O35" s="4" t="s">
        <v>120</v>
      </c>
    </row>
    <row r="36" spans="1:15">
      <c r="A36" s="4" t="s">
        <v>121</v>
      </c>
      <c r="B36" s="4">
        <v>95</v>
      </c>
      <c r="C36" s="4">
        <v>56</v>
      </c>
      <c r="D36" s="4">
        <v>34</v>
      </c>
      <c r="E36" s="4">
        <v>14.952999999999999</v>
      </c>
      <c r="F36" s="4">
        <v>0.10561</v>
      </c>
      <c r="G36" s="4">
        <v>0.17494000000000001</v>
      </c>
      <c r="H36" s="4">
        <v>5.6579000000000004E-3</v>
      </c>
      <c r="I36" s="4">
        <v>0</v>
      </c>
      <c r="J36" s="4">
        <v>0</v>
      </c>
      <c r="K36" s="4">
        <v>1</v>
      </c>
      <c r="L36" s="4">
        <v>1</v>
      </c>
      <c r="M36" s="4">
        <v>0.41273130000000002</v>
      </c>
      <c r="N36" s="4" t="s">
        <v>122</v>
      </c>
      <c r="O36" s="4" t="s">
        <v>123</v>
      </c>
    </row>
    <row r="37" spans="1:15">
      <c r="A37" s="4" t="s">
        <v>124</v>
      </c>
      <c r="B37" s="4">
        <v>9</v>
      </c>
      <c r="C37" s="4">
        <v>2</v>
      </c>
      <c r="D37" s="4">
        <v>2</v>
      </c>
      <c r="E37" s="4">
        <v>0.72941</v>
      </c>
      <c r="F37" s="4">
        <v>0.11232</v>
      </c>
      <c r="G37" s="4">
        <v>0.55750999999999995</v>
      </c>
      <c r="H37" s="4">
        <v>5.7848999999999999E-3</v>
      </c>
      <c r="I37" s="4">
        <v>0</v>
      </c>
      <c r="J37" s="4">
        <v>0</v>
      </c>
      <c r="K37" s="4">
        <v>1</v>
      </c>
      <c r="L37" s="4">
        <v>1</v>
      </c>
      <c r="M37" s="4">
        <v>0.41273130000000002</v>
      </c>
      <c r="N37" s="4" t="s">
        <v>125</v>
      </c>
      <c r="O37" s="4" t="s">
        <v>126</v>
      </c>
    </row>
    <row r="38" spans="1:15">
      <c r="A38" s="4" t="s">
        <v>127</v>
      </c>
      <c r="B38" s="4">
        <v>37</v>
      </c>
      <c r="C38" s="4">
        <v>6</v>
      </c>
      <c r="D38" s="4">
        <v>6</v>
      </c>
      <c r="E38" s="4">
        <v>3.2824</v>
      </c>
      <c r="F38" s="4">
        <v>0.14729</v>
      </c>
      <c r="G38" s="4">
        <v>0.35275000000000001</v>
      </c>
      <c r="H38" s="4">
        <v>6.4982E-3</v>
      </c>
      <c r="I38" s="4">
        <v>91</v>
      </c>
      <c r="J38" s="4">
        <v>0.91</v>
      </c>
      <c r="K38" s="4">
        <v>1</v>
      </c>
      <c r="L38" s="4">
        <v>1</v>
      </c>
      <c r="M38" s="4">
        <v>0.43537940000000003</v>
      </c>
      <c r="N38" s="4" t="s">
        <v>128</v>
      </c>
      <c r="O38" s="4" t="s">
        <v>129</v>
      </c>
    </row>
    <row r="39" spans="1:15">
      <c r="A39" s="4" t="s">
        <v>130</v>
      </c>
      <c r="B39" s="4">
        <v>34</v>
      </c>
      <c r="C39" s="4">
        <v>6</v>
      </c>
      <c r="D39" s="4">
        <v>6</v>
      </c>
      <c r="E39" s="4">
        <v>3.2824</v>
      </c>
      <c r="F39" s="4">
        <v>0.14729</v>
      </c>
      <c r="G39" s="4">
        <v>0.35275000000000001</v>
      </c>
      <c r="H39" s="4">
        <v>6.4982E-3</v>
      </c>
      <c r="I39" s="4">
        <v>91</v>
      </c>
      <c r="J39" s="4">
        <v>0.91</v>
      </c>
      <c r="K39" s="4">
        <v>1</v>
      </c>
      <c r="L39" s="4">
        <v>1</v>
      </c>
      <c r="M39" s="4">
        <v>0.43537940000000003</v>
      </c>
      <c r="N39" s="4" t="s">
        <v>131</v>
      </c>
      <c r="O39" s="4" t="s">
        <v>132</v>
      </c>
    </row>
    <row r="40" spans="1:15">
      <c r="A40" s="4" t="s">
        <v>133</v>
      </c>
      <c r="B40" s="4">
        <v>15</v>
      </c>
      <c r="C40" s="4">
        <v>11</v>
      </c>
      <c r="D40" s="4">
        <v>10</v>
      </c>
      <c r="E40" s="4">
        <v>5.1059000000000001</v>
      </c>
      <c r="F40" s="4">
        <v>0.15231</v>
      </c>
      <c r="G40" s="4">
        <v>0.31347000000000003</v>
      </c>
      <c r="H40" s="4">
        <v>6.6081999999999998E-3</v>
      </c>
      <c r="I40" s="4">
        <v>0</v>
      </c>
      <c r="J40" s="4">
        <v>0</v>
      </c>
      <c r="K40" s="4">
        <v>1</v>
      </c>
      <c r="L40" s="4">
        <v>1</v>
      </c>
      <c r="M40" s="4">
        <v>0.43537940000000003</v>
      </c>
      <c r="N40" s="4" t="s">
        <v>134</v>
      </c>
      <c r="O40" s="4" t="s">
        <v>135</v>
      </c>
    </row>
    <row r="41" spans="1:15">
      <c r="A41" s="4" t="s">
        <v>136</v>
      </c>
      <c r="B41" s="4">
        <v>16</v>
      </c>
      <c r="C41" s="4">
        <v>7</v>
      </c>
      <c r="D41" s="4">
        <v>7</v>
      </c>
      <c r="E41" s="4">
        <v>5.1059000000000001</v>
      </c>
      <c r="F41" s="4">
        <v>0.15231</v>
      </c>
      <c r="G41" s="4">
        <v>0.31347000000000003</v>
      </c>
      <c r="H41" s="4">
        <v>6.6081999999999998E-3</v>
      </c>
      <c r="I41" s="4">
        <v>0</v>
      </c>
      <c r="J41" s="4">
        <v>0</v>
      </c>
      <c r="K41" s="4">
        <v>1</v>
      </c>
      <c r="L41" s="4">
        <v>1</v>
      </c>
      <c r="M41" s="4">
        <v>0.43537940000000003</v>
      </c>
      <c r="N41" s="4" t="s">
        <v>137</v>
      </c>
      <c r="O41" s="4" t="s">
        <v>138</v>
      </c>
    </row>
    <row r="42" spans="1:15">
      <c r="A42" s="4" t="s">
        <v>139</v>
      </c>
      <c r="B42" s="4">
        <v>7</v>
      </c>
      <c r="C42" s="4">
        <v>3</v>
      </c>
      <c r="D42" s="4">
        <v>2</v>
      </c>
      <c r="E42" s="4">
        <v>2.5529000000000002</v>
      </c>
      <c r="F42" s="4">
        <v>0.17591000000000001</v>
      </c>
      <c r="G42" s="4">
        <v>0.43247999999999998</v>
      </c>
      <c r="H42" s="4">
        <v>7.1519000000000001E-3</v>
      </c>
      <c r="I42" s="4">
        <v>0</v>
      </c>
      <c r="J42" s="4">
        <v>0</v>
      </c>
      <c r="K42" s="4">
        <v>1</v>
      </c>
      <c r="L42" s="4">
        <v>1</v>
      </c>
      <c r="M42" s="4">
        <v>0.45056970000000002</v>
      </c>
      <c r="N42" s="4" t="s">
        <v>140</v>
      </c>
      <c r="O42" s="4" t="s">
        <v>141</v>
      </c>
    </row>
    <row r="43" spans="1:15">
      <c r="A43" s="4" t="s">
        <v>142</v>
      </c>
      <c r="B43" s="4">
        <v>11</v>
      </c>
      <c r="C43" s="4">
        <v>5</v>
      </c>
      <c r="D43" s="4">
        <v>4</v>
      </c>
      <c r="E43" s="4">
        <v>4.3765000000000001</v>
      </c>
      <c r="F43" s="4">
        <v>0.18090999999999999</v>
      </c>
      <c r="G43" s="4">
        <v>0.37203999999999998</v>
      </c>
      <c r="H43" s="4">
        <v>7.2731999999999996E-3</v>
      </c>
      <c r="I43" s="4">
        <v>100</v>
      </c>
      <c r="J43" s="4">
        <v>1</v>
      </c>
      <c r="K43" s="4">
        <v>1</v>
      </c>
      <c r="L43" s="4">
        <v>1</v>
      </c>
      <c r="M43" s="4">
        <v>0.45093840000000002</v>
      </c>
      <c r="N43" s="4" t="s">
        <v>143</v>
      </c>
      <c r="O43" s="4" t="s">
        <v>144</v>
      </c>
    </row>
    <row r="44" spans="1:15">
      <c r="A44" s="4" t="s">
        <v>145</v>
      </c>
      <c r="B44" s="4">
        <v>20</v>
      </c>
      <c r="C44" s="4">
        <v>16</v>
      </c>
      <c r="D44" s="4">
        <v>13</v>
      </c>
      <c r="E44" s="4">
        <v>9.1175999999999995</v>
      </c>
      <c r="F44" s="4">
        <v>0.18187999999999999</v>
      </c>
      <c r="G44" s="4">
        <v>0.30828</v>
      </c>
      <c r="H44" s="4">
        <v>7.2969999999999997E-3</v>
      </c>
      <c r="I44" s="4">
        <v>0</v>
      </c>
      <c r="J44" s="4">
        <v>0</v>
      </c>
      <c r="K44" s="4">
        <v>1</v>
      </c>
      <c r="L44" s="4">
        <v>1</v>
      </c>
      <c r="M44" s="4">
        <v>0.45093840000000002</v>
      </c>
      <c r="N44" s="4" t="s">
        <v>146</v>
      </c>
      <c r="O44" s="4" t="s">
        <v>147</v>
      </c>
    </row>
    <row r="45" spans="1:15">
      <c r="A45" s="4" t="s">
        <v>148</v>
      </c>
      <c r="B45" s="4">
        <v>19</v>
      </c>
      <c r="C45" s="4">
        <v>9</v>
      </c>
      <c r="D45" s="4">
        <v>6</v>
      </c>
      <c r="E45" s="4">
        <v>9.1175999999999995</v>
      </c>
      <c r="F45" s="4">
        <v>0.18187999999999999</v>
      </c>
      <c r="G45" s="4">
        <v>0.30828</v>
      </c>
      <c r="H45" s="4">
        <v>7.2969999999999997E-3</v>
      </c>
      <c r="I45" s="4">
        <v>76</v>
      </c>
      <c r="J45" s="4">
        <v>0.76</v>
      </c>
      <c r="K45" s="4">
        <v>1</v>
      </c>
      <c r="L45" s="4">
        <v>1</v>
      </c>
      <c r="M45" s="4">
        <v>0.45093840000000002</v>
      </c>
      <c r="N45" s="4" t="s">
        <v>149</v>
      </c>
      <c r="O45" s="4" t="s">
        <v>150</v>
      </c>
    </row>
    <row r="46" spans="1:15">
      <c r="A46" s="4" t="s">
        <v>151</v>
      </c>
      <c r="B46" s="4">
        <v>30</v>
      </c>
      <c r="C46" s="4">
        <v>19</v>
      </c>
      <c r="D46" s="4">
        <v>15</v>
      </c>
      <c r="E46" s="4">
        <v>14.224</v>
      </c>
      <c r="F46" s="4">
        <v>0.20118</v>
      </c>
      <c r="G46" s="4">
        <v>0.30481999999999998</v>
      </c>
      <c r="H46" s="4">
        <v>7.7879000000000004E-3</v>
      </c>
      <c r="I46" s="4">
        <v>100</v>
      </c>
      <c r="J46" s="4">
        <v>1</v>
      </c>
      <c r="K46" s="4">
        <v>1</v>
      </c>
      <c r="L46" s="4">
        <v>1</v>
      </c>
      <c r="M46" s="4">
        <v>0.45948610000000001</v>
      </c>
      <c r="N46" s="4" t="s">
        <v>152</v>
      </c>
      <c r="O46" s="4" t="s">
        <v>153</v>
      </c>
    </row>
    <row r="47" spans="1:15">
      <c r="A47" s="4" t="s">
        <v>154</v>
      </c>
      <c r="B47" s="4">
        <v>12</v>
      </c>
      <c r="C47" s="4">
        <v>6</v>
      </c>
      <c r="D47" s="4">
        <v>6</v>
      </c>
      <c r="E47" s="4">
        <v>5.4706000000000001</v>
      </c>
      <c r="F47" s="4">
        <v>0.20688000000000001</v>
      </c>
      <c r="G47" s="4">
        <v>0.38562999999999997</v>
      </c>
      <c r="H47" s="4">
        <v>7.9395000000000004E-3</v>
      </c>
      <c r="I47" s="4">
        <v>0</v>
      </c>
      <c r="J47" s="4">
        <v>0</v>
      </c>
      <c r="K47" s="4">
        <v>1</v>
      </c>
      <c r="L47" s="4">
        <v>1</v>
      </c>
      <c r="M47" s="4">
        <v>0.46049099999999998</v>
      </c>
      <c r="N47" s="4" t="s">
        <v>155</v>
      </c>
      <c r="O47" s="4" t="s">
        <v>156</v>
      </c>
    </row>
    <row r="48" spans="1:15">
      <c r="A48" s="4" t="s">
        <v>157</v>
      </c>
      <c r="B48" s="4">
        <v>39</v>
      </c>
      <c r="C48" s="4">
        <v>6</v>
      </c>
      <c r="D48" s="4">
        <v>5</v>
      </c>
      <c r="E48" s="4">
        <v>5.4706000000000001</v>
      </c>
      <c r="F48" s="4">
        <v>0.20688000000000001</v>
      </c>
      <c r="G48" s="4">
        <v>0.38562999999999997</v>
      </c>
      <c r="H48" s="4">
        <v>7.9395000000000004E-3</v>
      </c>
      <c r="I48" s="4">
        <v>0</v>
      </c>
      <c r="J48" s="4">
        <v>0</v>
      </c>
      <c r="K48" s="4">
        <v>1</v>
      </c>
      <c r="L48" s="4">
        <v>1</v>
      </c>
      <c r="M48" s="4">
        <v>0.46049099999999998</v>
      </c>
      <c r="N48" s="4" t="s">
        <v>158</v>
      </c>
      <c r="O48" s="4" t="s">
        <v>159</v>
      </c>
    </row>
    <row r="49" spans="1:15">
      <c r="A49" s="4" t="s">
        <v>160</v>
      </c>
      <c r="B49" s="4">
        <v>10</v>
      </c>
      <c r="C49" s="4">
        <v>4</v>
      </c>
      <c r="D49" s="4">
        <v>3</v>
      </c>
      <c r="E49" s="4">
        <v>1.8234999999999999</v>
      </c>
      <c r="F49" s="4">
        <v>0.21256</v>
      </c>
      <c r="G49" s="4">
        <v>0.54198999999999997</v>
      </c>
      <c r="H49" s="4">
        <v>8.0938999999999994E-3</v>
      </c>
      <c r="I49" s="4">
        <v>100</v>
      </c>
      <c r="J49" s="4">
        <v>1</v>
      </c>
      <c r="K49" s="4">
        <v>1</v>
      </c>
      <c r="L49" s="4">
        <v>1</v>
      </c>
      <c r="M49" s="4">
        <v>0.46049099999999998</v>
      </c>
      <c r="N49" s="4" t="s">
        <v>161</v>
      </c>
      <c r="O49" s="4" t="s">
        <v>162</v>
      </c>
    </row>
    <row r="50" spans="1:15">
      <c r="A50" s="4" t="s">
        <v>163</v>
      </c>
      <c r="B50" s="4">
        <v>6</v>
      </c>
      <c r="C50" s="4">
        <v>1</v>
      </c>
      <c r="D50" s="4">
        <v>1</v>
      </c>
      <c r="E50" s="4">
        <v>1.8234999999999999</v>
      </c>
      <c r="F50" s="4">
        <v>0.21256</v>
      </c>
      <c r="G50" s="4">
        <v>0.54198999999999997</v>
      </c>
      <c r="H50" s="4">
        <v>8.0938999999999994E-3</v>
      </c>
      <c r="I50" s="4">
        <v>0</v>
      </c>
      <c r="J50" s="4">
        <v>0</v>
      </c>
      <c r="K50" s="4">
        <v>1</v>
      </c>
      <c r="L50" s="4">
        <v>1</v>
      </c>
      <c r="M50" s="4">
        <v>0.46049099999999998</v>
      </c>
      <c r="N50" s="4" t="s">
        <v>164</v>
      </c>
      <c r="O50" s="4" t="s">
        <v>165</v>
      </c>
    </row>
    <row r="51" spans="1:15">
      <c r="A51" s="4" t="s">
        <v>166</v>
      </c>
      <c r="B51" s="4">
        <v>19</v>
      </c>
      <c r="C51" s="4">
        <v>2</v>
      </c>
      <c r="D51" s="4">
        <v>2</v>
      </c>
      <c r="E51" s="4">
        <v>1.8234999999999999</v>
      </c>
      <c r="F51" s="4">
        <v>0.21256</v>
      </c>
      <c r="G51" s="4">
        <v>0.54198999999999997</v>
      </c>
      <c r="H51" s="4">
        <v>8.0938999999999994E-3</v>
      </c>
      <c r="I51" s="4">
        <v>0</v>
      </c>
      <c r="J51" s="4">
        <v>0</v>
      </c>
      <c r="K51" s="4">
        <v>1</v>
      </c>
      <c r="L51" s="4">
        <v>1</v>
      </c>
      <c r="M51" s="4">
        <v>0.46049099999999998</v>
      </c>
      <c r="N51" s="4" t="s">
        <v>167</v>
      </c>
      <c r="O51" s="4" t="s">
        <v>168</v>
      </c>
    </row>
    <row r="52" spans="1:15">
      <c r="A52" s="4" t="s">
        <v>169</v>
      </c>
      <c r="B52" s="4">
        <v>31</v>
      </c>
      <c r="C52" s="4">
        <v>18</v>
      </c>
      <c r="D52" s="4">
        <v>13</v>
      </c>
      <c r="E52" s="4">
        <v>10.576000000000001</v>
      </c>
      <c r="F52" s="4">
        <v>0.23738000000000001</v>
      </c>
      <c r="G52" s="4">
        <v>0.36919999999999997</v>
      </c>
      <c r="H52" s="4">
        <v>8.8071999999999994E-3</v>
      </c>
      <c r="I52" s="4">
        <v>0</v>
      </c>
      <c r="J52" s="4">
        <v>0</v>
      </c>
      <c r="K52" s="4">
        <v>1</v>
      </c>
      <c r="L52" s="4">
        <v>1</v>
      </c>
      <c r="M52" s="4">
        <v>0.46678160000000002</v>
      </c>
      <c r="N52" s="4" t="s">
        <v>170</v>
      </c>
      <c r="O52" s="4" t="s">
        <v>171</v>
      </c>
    </row>
    <row r="53" spans="1:15">
      <c r="A53" s="4" t="s">
        <v>172</v>
      </c>
      <c r="B53" s="4">
        <v>20</v>
      </c>
      <c r="C53" s="4">
        <v>6</v>
      </c>
      <c r="D53" s="4">
        <v>4</v>
      </c>
      <c r="E53" s="4">
        <v>4.7412000000000001</v>
      </c>
      <c r="F53" s="4">
        <v>0.24553</v>
      </c>
      <c r="G53" s="4">
        <v>0.45217000000000002</v>
      </c>
      <c r="H53" s="4">
        <v>9.0559999999999998E-3</v>
      </c>
      <c r="I53" s="4">
        <v>0</v>
      </c>
      <c r="J53" s="4">
        <v>0</v>
      </c>
      <c r="K53" s="4">
        <v>1</v>
      </c>
      <c r="L53" s="4">
        <v>1</v>
      </c>
      <c r="M53" s="4">
        <v>0.470912</v>
      </c>
      <c r="N53" s="4" t="s">
        <v>173</v>
      </c>
      <c r="O53" s="4" t="s">
        <v>174</v>
      </c>
    </row>
    <row r="54" spans="1:15">
      <c r="A54" s="4" t="s">
        <v>175</v>
      </c>
      <c r="B54" s="4">
        <v>107</v>
      </c>
      <c r="C54" s="4">
        <v>28</v>
      </c>
      <c r="D54" s="4">
        <v>22</v>
      </c>
      <c r="E54" s="4">
        <v>16.776</v>
      </c>
      <c r="F54" s="4">
        <v>0.25252000000000002</v>
      </c>
      <c r="G54" s="4">
        <v>0.35772999999999999</v>
      </c>
      <c r="H54" s="4">
        <v>9.2753000000000002E-3</v>
      </c>
      <c r="I54" s="4">
        <v>0</v>
      </c>
      <c r="J54" s="4">
        <v>0</v>
      </c>
      <c r="K54" s="4">
        <v>1</v>
      </c>
      <c r="L54" s="4">
        <v>1</v>
      </c>
      <c r="M54" s="4">
        <v>0.47304030000000002</v>
      </c>
      <c r="N54" s="4" t="s">
        <v>176</v>
      </c>
      <c r="O54" s="4" t="s">
        <v>177</v>
      </c>
    </row>
    <row r="55" spans="1:15">
      <c r="A55" s="4" t="s">
        <v>178</v>
      </c>
      <c r="B55" s="4">
        <v>28</v>
      </c>
      <c r="C55" s="4">
        <v>2</v>
      </c>
      <c r="D55" s="4">
        <v>2</v>
      </c>
      <c r="E55" s="4">
        <v>1.0941000000000001</v>
      </c>
      <c r="F55" s="4">
        <v>0.26182</v>
      </c>
      <c r="G55" s="4">
        <v>0.70579999999999998</v>
      </c>
      <c r="H55" s="4">
        <v>9.5762E-3</v>
      </c>
      <c r="I55" s="4">
        <v>99</v>
      </c>
      <c r="J55" s="4">
        <v>0.99</v>
      </c>
      <c r="K55" s="4">
        <v>1</v>
      </c>
      <c r="L55" s="4">
        <v>1</v>
      </c>
      <c r="M55" s="4">
        <v>0.47881000000000001</v>
      </c>
      <c r="N55" s="4" t="s">
        <v>179</v>
      </c>
      <c r="O55" s="4" t="s">
        <v>180</v>
      </c>
    </row>
    <row r="56" spans="1:15">
      <c r="A56" s="4" t="s">
        <v>181</v>
      </c>
      <c r="B56" s="4">
        <v>7</v>
      </c>
      <c r="C56" s="4">
        <v>3</v>
      </c>
      <c r="D56" s="4">
        <v>3</v>
      </c>
      <c r="E56" s="4">
        <v>2.9176000000000002</v>
      </c>
      <c r="F56" s="4">
        <v>0.26235999999999998</v>
      </c>
      <c r="G56" s="4">
        <v>0.53537999999999997</v>
      </c>
      <c r="H56" s="4">
        <v>9.5940999999999995E-3</v>
      </c>
      <c r="I56" s="4">
        <v>0</v>
      </c>
      <c r="J56" s="4">
        <v>0</v>
      </c>
      <c r="K56" s="4">
        <v>1</v>
      </c>
      <c r="L56" s="4">
        <v>1</v>
      </c>
      <c r="M56" s="4">
        <v>0.47881000000000001</v>
      </c>
      <c r="N56" s="4" t="s">
        <v>182</v>
      </c>
      <c r="O56" s="4" t="s">
        <v>183</v>
      </c>
    </row>
    <row r="57" spans="1:15">
      <c r="A57" s="4" t="s">
        <v>184</v>
      </c>
      <c r="B57" s="4">
        <v>34</v>
      </c>
      <c r="C57" s="4">
        <v>4</v>
      </c>
      <c r="D57" s="4">
        <v>3</v>
      </c>
      <c r="E57" s="4">
        <v>2.9176000000000002</v>
      </c>
      <c r="F57" s="4">
        <v>0.26235999999999998</v>
      </c>
      <c r="G57" s="4">
        <v>0.53537999999999997</v>
      </c>
      <c r="H57" s="4">
        <v>9.5940999999999995E-3</v>
      </c>
      <c r="I57" s="4">
        <v>0</v>
      </c>
      <c r="J57" s="4">
        <v>0</v>
      </c>
      <c r="K57" s="4">
        <v>1</v>
      </c>
      <c r="L57" s="4">
        <v>1</v>
      </c>
      <c r="M57" s="4">
        <v>0.47881000000000001</v>
      </c>
      <c r="N57" s="4" t="s">
        <v>185</v>
      </c>
      <c r="O57" s="4" t="s">
        <v>186</v>
      </c>
    </row>
    <row r="58" spans="1:15">
      <c r="A58" s="4" t="s">
        <v>187</v>
      </c>
      <c r="B58" s="4">
        <v>33</v>
      </c>
      <c r="C58" s="4">
        <v>8</v>
      </c>
      <c r="D58" s="4">
        <v>4</v>
      </c>
      <c r="E58" s="4">
        <v>6.2</v>
      </c>
      <c r="F58" s="4">
        <v>0.33195000000000002</v>
      </c>
      <c r="G58" s="4">
        <v>0.52753000000000005</v>
      </c>
      <c r="H58" s="4">
        <v>1.2218E-2</v>
      </c>
      <c r="I58" s="4">
        <v>0</v>
      </c>
      <c r="J58" s="4">
        <v>0</v>
      </c>
      <c r="K58" s="4">
        <v>1</v>
      </c>
      <c r="L58" s="4">
        <v>1</v>
      </c>
      <c r="M58" s="4">
        <v>0.57424600000000003</v>
      </c>
      <c r="N58" s="4" t="s">
        <v>188</v>
      </c>
      <c r="O58" s="4" t="s">
        <v>189</v>
      </c>
    </row>
    <row r="59" spans="1:15">
      <c r="A59" s="4" t="s">
        <v>190</v>
      </c>
      <c r="B59" s="4">
        <v>7</v>
      </c>
      <c r="C59" s="4">
        <v>1</v>
      </c>
      <c r="D59" s="4">
        <v>1</v>
      </c>
      <c r="E59" s="4">
        <v>0.36470999999999998</v>
      </c>
      <c r="F59" s="4">
        <v>0.33535999999999999</v>
      </c>
      <c r="G59" s="4">
        <v>1</v>
      </c>
      <c r="H59" s="4">
        <v>1.2366E-2</v>
      </c>
      <c r="I59" s="4">
        <v>0</v>
      </c>
      <c r="J59" s="4">
        <v>0</v>
      </c>
      <c r="K59" s="4">
        <v>1</v>
      </c>
      <c r="L59" s="4">
        <v>1</v>
      </c>
      <c r="M59" s="4">
        <v>0.57424600000000003</v>
      </c>
      <c r="N59" s="4" t="s">
        <v>191</v>
      </c>
      <c r="O59" s="4" t="s">
        <v>192</v>
      </c>
    </row>
    <row r="60" spans="1:15">
      <c r="A60" s="4" t="s">
        <v>193</v>
      </c>
      <c r="B60" s="4">
        <v>19</v>
      </c>
      <c r="C60" s="4">
        <v>1</v>
      </c>
      <c r="D60" s="4">
        <v>1</v>
      </c>
      <c r="E60" s="4">
        <v>0.36470999999999998</v>
      </c>
      <c r="F60" s="4">
        <v>0.33535999999999999</v>
      </c>
      <c r="G60" s="4">
        <v>1</v>
      </c>
      <c r="H60" s="4">
        <v>1.2366E-2</v>
      </c>
      <c r="I60" s="4">
        <v>0</v>
      </c>
      <c r="J60" s="4">
        <v>0</v>
      </c>
      <c r="K60" s="4">
        <v>1</v>
      </c>
      <c r="L60" s="4">
        <v>1</v>
      </c>
      <c r="M60" s="4">
        <v>0.57424600000000003</v>
      </c>
      <c r="N60" s="4" t="s">
        <v>194</v>
      </c>
      <c r="O60" s="4" t="s">
        <v>192</v>
      </c>
    </row>
    <row r="61" spans="1:15">
      <c r="A61" s="4" t="s">
        <v>195</v>
      </c>
      <c r="B61" s="4">
        <v>35</v>
      </c>
      <c r="C61" s="4">
        <v>2</v>
      </c>
      <c r="D61" s="4">
        <v>2</v>
      </c>
      <c r="E61" s="4">
        <v>1.4588000000000001</v>
      </c>
      <c r="F61" s="4">
        <v>0.41102</v>
      </c>
      <c r="G61" s="4">
        <v>0.80447000000000002</v>
      </c>
      <c r="H61" s="4">
        <v>1.6194E-2</v>
      </c>
      <c r="I61" s="4">
        <v>0</v>
      </c>
      <c r="J61" s="4">
        <v>0</v>
      </c>
      <c r="K61" s="4">
        <v>1</v>
      </c>
      <c r="L61" s="4">
        <v>1</v>
      </c>
      <c r="M61" s="4">
        <v>0.71253599999999995</v>
      </c>
      <c r="N61" s="4" t="s">
        <v>196</v>
      </c>
      <c r="O61" s="4" t="s">
        <v>197</v>
      </c>
    </row>
    <row r="62" spans="1:15">
      <c r="A62" s="4" t="s">
        <v>198</v>
      </c>
      <c r="B62" s="4">
        <v>21</v>
      </c>
      <c r="C62" s="4">
        <v>1</v>
      </c>
      <c r="D62" s="4">
        <v>1</v>
      </c>
      <c r="E62" s="4">
        <v>1.4588000000000001</v>
      </c>
      <c r="F62" s="4">
        <v>0.41102</v>
      </c>
      <c r="G62" s="4">
        <v>0.80447000000000002</v>
      </c>
      <c r="H62" s="4">
        <v>1.6194E-2</v>
      </c>
      <c r="I62" s="4">
        <v>0</v>
      </c>
      <c r="J62" s="4">
        <v>0</v>
      </c>
      <c r="K62" s="4">
        <v>1</v>
      </c>
      <c r="L62" s="4">
        <v>1</v>
      </c>
      <c r="M62" s="4">
        <v>0.71253599999999995</v>
      </c>
      <c r="N62" s="4" t="s">
        <v>199</v>
      </c>
      <c r="O62" s="4" t="s">
        <v>200</v>
      </c>
    </row>
    <row r="63" spans="1:15">
      <c r="A63" s="4" t="s">
        <v>201</v>
      </c>
      <c r="B63" s="4">
        <v>29</v>
      </c>
      <c r="C63" s="4">
        <v>20</v>
      </c>
      <c r="D63" s="4">
        <v>15</v>
      </c>
      <c r="E63" s="4">
        <v>13.129</v>
      </c>
      <c r="F63" s="4">
        <v>0.43224000000000001</v>
      </c>
      <c r="G63" s="4">
        <v>0.57040000000000002</v>
      </c>
      <c r="H63" s="4">
        <v>1.7491E-2</v>
      </c>
      <c r="I63" s="4">
        <v>97</v>
      </c>
      <c r="J63" s="4">
        <v>0.97</v>
      </c>
      <c r="K63" s="4">
        <v>1</v>
      </c>
      <c r="L63" s="4">
        <v>1</v>
      </c>
      <c r="M63" s="4">
        <v>0.734622</v>
      </c>
      <c r="N63" s="4" t="s">
        <v>202</v>
      </c>
      <c r="O63" s="4" t="s">
        <v>203</v>
      </c>
    </row>
    <row r="64" spans="1:15">
      <c r="A64" s="4" t="s">
        <v>204</v>
      </c>
      <c r="B64" s="4">
        <v>20</v>
      </c>
      <c r="C64" s="4">
        <v>9</v>
      </c>
      <c r="D64" s="4">
        <v>7</v>
      </c>
      <c r="E64" s="4">
        <v>4.7412000000000001</v>
      </c>
      <c r="F64" s="4">
        <v>0.45427000000000001</v>
      </c>
      <c r="G64" s="4">
        <v>0.68223999999999996</v>
      </c>
      <c r="H64" s="4">
        <v>1.8963000000000001E-2</v>
      </c>
      <c r="I64" s="4">
        <v>100</v>
      </c>
      <c r="J64" s="4">
        <v>1</v>
      </c>
      <c r="K64" s="4">
        <v>1</v>
      </c>
      <c r="L64" s="4">
        <v>1</v>
      </c>
      <c r="M64" s="4">
        <v>0.77748300000000004</v>
      </c>
      <c r="N64" s="4" t="s">
        <v>205</v>
      </c>
      <c r="O64" s="4" t="s">
        <v>206</v>
      </c>
    </row>
    <row r="65" spans="1:15">
      <c r="A65" s="4" t="s">
        <v>207</v>
      </c>
      <c r="B65" s="4">
        <v>48</v>
      </c>
      <c r="C65" s="4">
        <v>10</v>
      </c>
      <c r="D65" s="4">
        <v>6</v>
      </c>
      <c r="E65" s="4">
        <v>6.9294000000000002</v>
      </c>
      <c r="F65" s="4">
        <v>0.46451999999999999</v>
      </c>
      <c r="G65" s="4">
        <v>0.65398000000000001</v>
      </c>
      <c r="H65" s="4">
        <v>1.9694E-2</v>
      </c>
      <c r="I65" s="4">
        <v>0</v>
      </c>
      <c r="J65" s="4">
        <v>0</v>
      </c>
      <c r="K65" s="4">
        <v>1</v>
      </c>
      <c r="L65" s="4">
        <v>1</v>
      </c>
      <c r="M65" s="4">
        <v>0.78776000000000002</v>
      </c>
      <c r="N65" s="4" t="s">
        <v>208</v>
      </c>
      <c r="O65" s="4" t="s">
        <v>209</v>
      </c>
    </row>
    <row r="66" spans="1:15">
      <c r="A66" s="4" t="s">
        <v>210</v>
      </c>
      <c r="B66" s="4">
        <v>95</v>
      </c>
      <c r="C66" s="4">
        <v>34</v>
      </c>
      <c r="D66" s="4">
        <v>12</v>
      </c>
      <c r="E66" s="4">
        <v>10.212</v>
      </c>
      <c r="F66" s="4">
        <v>0.47371999999999997</v>
      </c>
      <c r="G66" s="4">
        <v>0.63005</v>
      </c>
      <c r="H66" s="4">
        <v>2.0378E-2</v>
      </c>
      <c r="I66" s="4">
        <v>0</v>
      </c>
      <c r="J66" s="4">
        <v>0</v>
      </c>
      <c r="K66" s="4">
        <v>1</v>
      </c>
      <c r="L66" s="4">
        <v>1</v>
      </c>
      <c r="M66" s="4">
        <v>0.79474199999999995</v>
      </c>
      <c r="N66" s="4" t="s">
        <v>211</v>
      </c>
      <c r="O66" s="4" t="s">
        <v>212</v>
      </c>
    </row>
    <row r="67" spans="1:15">
      <c r="A67" s="4" t="s">
        <v>213</v>
      </c>
      <c r="B67" s="4">
        <v>82</v>
      </c>
      <c r="C67" s="4">
        <v>45</v>
      </c>
      <c r="D67" s="4">
        <v>15</v>
      </c>
      <c r="E67" s="4">
        <v>13.494</v>
      </c>
      <c r="F67" s="4">
        <v>0.47972999999999999</v>
      </c>
      <c r="G67" s="4">
        <v>0.61561999999999995</v>
      </c>
      <c r="H67" s="4">
        <v>2.0837999999999999E-2</v>
      </c>
      <c r="I67" s="4">
        <v>0</v>
      </c>
      <c r="J67" s="4">
        <v>0</v>
      </c>
      <c r="K67" s="4">
        <v>1</v>
      </c>
      <c r="L67" s="4">
        <v>1</v>
      </c>
      <c r="M67" s="4">
        <v>0.79474199999999995</v>
      </c>
      <c r="N67" s="4" t="s">
        <v>214</v>
      </c>
      <c r="O67" s="4" t="s">
        <v>215</v>
      </c>
    </row>
    <row r="68" spans="1:15">
      <c r="A68" s="4" t="s">
        <v>216</v>
      </c>
      <c r="B68" s="4">
        <v>22</v>
      </c>
      <c r="C68" s="4">
        <v>13</v>
      </c>
      <c r="D68" s="4">
        <v>7</v>
      </c>
      <c r="E68" s="4">
        <v>7.2941000000000003</v>
      </c>
      <c r="F68" s="4">
        <v>0.52888999999999997</v>
      </c>
      <c r="G68" s="4">
        <v>0.70870999999999995</v>
      </c>
      <c r="H68" s="4">
        <v>2.5087999999999999E-2</v>
      </c>
      <c r="I68" s="4">
        <v>0</v>
      </c>
      <c r="J68" s="4">
        <v>0</v>
      </c>
      <c r="K68" s="4">
        <v>1</v>
      </c>
      <c r="L68" s="4">
        <v>1</v>
      </c>
      <c r="M68" s="4">
        <v>0.92825599999999997</v>
      </c>
      <c r="N68" s="4" t="s">
        <v>217</v>
      </c>
      <c r="O68" s="4" t="s">
        <v>218</v>
      </c>
    </row>
    <row r="69" spans="1:15">
      <c r="A69" s="4" t="s">
        <v>219</v>
      </c>
      <c r="B69" s="4">
        <v>31</v>
      </c>
      <c r="C69" s="4">
        <v>10</v>
      </c>
      <c r="D69" s="4">
        <v>5</v>
      </c>
      <c r="E69" s="4">
        <v>6.2</v>
      </c>
      <c r="F69" s="4">
        <v>0.52993000000000001</v>
      </c>
      <c r="G69" s="4">
        <v>0.72391000000000005</v>
      </c>
      <c r="H69" s="4">
        <v>2.5187999999999999E-2</v>
      </c>
      <c r="I69" s="4">
        <v>100</v>
      </c>
      <c r="J69" s="4">
        <v>1</v>
      </c>
      <c r="K69" s="4">
        <v>1</v>
      </c>
      <c r="L69" s="4">
        <v>1</v>
      </c>
      <c r="M69" s="4">
        <v>0.92825599999999997</v>
      </c>
      <c r="N69" s="4" t="s">
        <v>220</v>
      </c>
      <c r="O69" s="4" t="s">
        <v>221</v>
      </c>
    </row>
    <row r="70" spans="1:15">
      <c r="A70" s="4" t="s">
        <v>222</v>
      </c>
      <c r="B70" s="4">
        <v>26</v>
      </c>
      <c r="C70" s="4">
        <v>3</v>
      </c>
      <c r="D70" s="4">
        <v>3</v>
      </c>
      <c r="E70" s="4">
        <v>4.0118</v>
      </c>
      <c r="F70" s="4">
        <v>0.53358000000000005</v>
      </c>
      <c r="G70" s="4">
        <v>0.76975000000000005</v>
      </c>
      <c r="H70" s="4">
        <v>2.5543E-2</v>
      </c>
      <c r="I70" s="4">
        <v>0</v>
      </c>
      <c r="J70" s="4">
        <v>0</v>
      </c>
      <c r="K70" s="4">
        <v>1</v>
      </c>
      <c r="L70" s="4">
        <v>1</v>
      </c>
      <c r="M70" s="4">
        <v>0.92825599999999997</v>
      </c>
      <c r="N70" s="4" t="s">
        <v>223</v>
      </c>
      <c r="O70" s="4" t="s">
        <v>224</v>
      </c>
    </row>
    <row r="71" spans="1:15">
      <c r="A71" s="4" t="s">
        <v>225</v>
      </c>
      <c r="B71" s="4">
        <v>8</v>
      </c>
      <c r="C71" s="4">
        <v>4</v>
      </c>
      <c r="D71" s="4">
        <v>3</v>
      </c>
      <c r="E71" s="4">
        <v>4.0118</v>
      </c>
      <c r="F71" s="4">
        <v>0.53358000000000005</v>
      </c>
      <c r="G71" s="4">
        <v>0.76975000000000005</v>
      </c>
      <c r="H71" s="4">
        <v>2.5543E-2</v>
      </c>
      <c r="I71" s="4">
        <v>0</v>
      </c>
      <c r="J71" s="4">
        <v>0</v>
      </c>
      <c r="K71" s="4">
        <v>1</v>
      </c>
      <c r="L71" s="4">
        <v>1</v>
      </c>
      <c r="M71" s="4">
        <v>0.92825599999999997</v>
      </c>
      <c r="N71" s="4" t="s">
        <v>226</v>
      </c>
      <c r="O71" s="4" t="s">
        <v>227</v>
      </c>
    </row>
    <row r="72" spans="1:15">
      <c r="A72" s="4" t="s">
        <v>228</v>
      </c>
      <c r="B72" s="4">
        <v>5</v>
      </c>
      <c r="C72" s="4">
        <v>4</v>
      </c>
      <c r="D72" s="4">
        <v>2</v>
      </c>
      <c r="E72" s="4">
        <v>2.9176000000000002</v>
      </c>
      <c r="F72" s="4">
        <v>0.53705000000000003</v>
      </c>
      <c r="G72" s="4">
        <v>0.80784999999999996</v>
      </c>
      <c r="H72" s="4">
        <v>2.5884999999999998E-2</v>
      </c>
      <c r="I72" s="4">
        <v>0</v>
      </c>
      <c r="J72" s="4">
        <v>0</v>
      </c>
      <c r="K72" s="4">
        <v>1</v>
      </c>
      <c r="L72" s="4">
        <v>1</v>
      </c>
      <c r="M72" s="4">
        <v>0.92825599999999997</v>
      </c>
      <c r="N72" s="4" t="s">
        <v>229</v>
      </c>
      <c r="O72" s="4" t="s">
        <v>230</v>
      </c>
    </row>
    <row r="73" spans="1:15">
      <c r="A73" s="4" t="s">
        <v>231</v>
      </c>
      <c r="B73" s="4">
        <v>10</v>
      </c>
      <c r="C73" s="4">
        <v>7</v>
      </c>
      <c r="D73" s="4">
        <v>5</v>
      </c>
      <c r="E73" s="4">
        <v>6.5647000000000002</v>
      </c>
      <c r="F73" s="4">
        <v>0.59574000000000005</v>
      </c>
      <c r="G73" s="4">
        <v>0.77412999999999998</v>
      </c>
      <c r="H73" s="4">
        <v>3.2568E-2</v>
      </c>
      <c r="I73" s="4">
        <v>64</v>
      </c>
      <c r="J73" s="4">
        <v>0.64</v>
      </c>
      <c r="K73" s="4">
        <v>1</v>
      </c>
      <c r="L73" s="4">
        <v>1</v>
      </c>
      <c r="M73" s="4">
        <v>1</v>
      </c>
      <c r="N73" s="4" t="s">
        <v>232</v>
      </c>
      <c r="O73" s="4" t="s">
        <v>233</v>
      </c>
    </row>
    <row r="74" spans="1:15">
      <c r="A74" s="4" t="s">
        <v>234</v>
      </c>
      <c r="B74" s="4">
        <v>41</v>
      </c>
      <c r="C74" s="4">
        <v>34</v>
      </c>
      <c r="D74" s="4">
        <v>27</v>
      </c>
      <c r="E74" s="4">
        <v>17.870999999999999</v>
      </c>
      <c r="F74" s="4">
        <v>0.60714000000000001</v>
      </c>
      <c r="G74" s="4">
        <v>0.71687000000000001</v>
      </c>
      <c r="H74" s="4">
        <v>3.4090000000000002E-2</v>
      </c>
      <c r="I74" s="4">
        <v>0</v>
      </c>
      <c r="J74" s="4">
        <v>0</v>
      </c>
      <c r="K74" s="4">
        <v>1</v>
      </c>
      <c r="L74" s="4">
        <v>1</v>
      </c>
      <c r="M74" s="4">
        <v>1</v>
      </c>
      <c r="N74" s="4" t="s">
        <v>235</v>
      </c>
      <c r="O74" s="4" t="s">
        <v>236</v>
      </c>
    </row>
    <row r="75" spans="1:15">
      <c r="A75" s="4" t="s">
        <v>237</v>
      </c>
      <c r="B75" s="4">
        <v>66</v>
      </c>
      <c r="C75" s="4">
        <v>5</v>
      </c>
      <c r="D75" s="4">
        <v>3</v>
      </c>
      <c r="E75" s="4">
        <v>3.2824</v>
      </c>
      <c r="F75" s="4">
        <v>0.62836000000000003</v>
      </c>
      <c r="G75" s="4">
        <v>0.85960999999999999</v>
      </c>
      <c r="H75" s="4">
        <v>3.7151000000000003E-2</v>
      </c>
      <c r="I75" s="4">
        <v>0</v>
      </c>
      <c r="J75" s="4">
        <v>0</v>
      </c>
      <c r="K75" s="4">
        <v>1</v>
      </c>
      <c r="L75" s="4">
        <v>1</v>
      </c>
      <c r="M75" s="4">
        <v>1</v>
      </c>
      <c r="N75" s="4" t="s">
        <v>238</v>
      </c>
      <c r="O75" s="4" t="s">
        <v>239</v>
      </c>
    </row>
    <row r="76" spans="1:15">
      <c r="A76" s="4" t="s">
        <v>240</v>
      </c>
      <c r="B76" s="4">
        <v>67</v>
      </c>
      <c r="C76" s="4">
        <v>28</v>
      </c>
      <c r="D76" s="4">
        <v>11</v>
      </c>
      <c r="E76" s="4">
        <v>8.0235000000000003</v>
      </c>
      <c r="F76" s="4">
        <v>0.64690000000000003</v>
      </c>
      <c r="G76" s="4">
        <v>0.79952999999999996</v>
      </c>
      <c r="H76" s="4">
        <v>4.0098000000000002E-2</v>
      </c>
      <c r="I76" s="4">
        <v>0</v>
      </c>
      <c r="J76" s="4">
        <v>0</v>
      </c>
      <c r="K76" s="4">
        <v>1</v>
      </c>
      <c r="L76" s="4">
        <v>1</v>
      </c>
      <c r="M76" s="4">
        <v>1</v>
      </c>
      <c r="N76" s="4" t="s">
        <v>241</v>
      </c>
      <c r="O76" s="4" t="s">
        <v>242</v>
      </c>
    </row>
    <row r="77" spans="1:15">
      <c r="A77" s="4" t="s">
        <v>243</v>
      </c>
      <c r="B77" s="4">
        <v>78</v>
      </c>
      <c r="C77" s="4">
        <v>42</v>
      </c>
      <c r="D77" s="4">
        <v>24</v>
      </c>
      <c r="E77" s="4">
        <v>16.047000000000001</v>
      </c>
      <c r="F77" s="4">
        <v>0.65256000000000003</v>
      </c>
      <c r="G77" s="4">
        <v>0.76212000000000002</v>
      </c>
      <c r="H77" s="4">
        <v>4.1054E-2</v>
      </c>
      <c r="I77" s="4">
        <v>0</v>
      </c>
      <c r="J77" s="4">
        <v>0</v>
      </c>
      <c r="K77" s="4">
        <v>1</v>
      </c>
      <c r="L77" s="4">
        <v>1</v>
      </c>
      <c r="M77" s="4">
        <v>1</v>
      </c>
      <c r="N77" s="4" t="s">
        <v>244</v>
      </c>
      <c r="O77" s="4" t="s">
        <v>245</v>
      </c>
    </row>
    <row r="78" spans="1:15">
      <c r="A78" s="4" t="s">
        <v>246</v>
      </c>
      <c r="B78" s="4">
        <v>8</v>
      </c>
      <c r="C78" s="4">
        <v>4</v>
      </c>
      <c r="D78" s="4">
        <v>2</v>
      </c>
      <c r="E78" s="4">
        <v>2.1882000000000001</v>
      </c>
      <c r="F78" s="4">
        <v>0.65327999999999997</v>
      </c>
      <c r="G78" s="4">
        <v>0.91371000000000002</v>
      </c>
      <c r="H78" s="4">
        <v>4.1176999999999998E-2</v>
      </c>
      <c r="I78" s="4">
        <v>93</v>
      </c>
      <c r="J78" s="4">
        <v>0.93</v>
      </c>
      <c r="K78" s="4">
        <v>1</v>
      </c>
      <c r="L78" s="4">
        <v>1</v>
      </c>
      <c r="M78" s="4">
        <v>1</v>
      </c>
      <c r="N78" s="4" t="s">
        <v>247</v>
      </c>
      <c r="O78" s="4" t="s">
        <v>248</v>
      </c>
    </row>
    <row r="79" spans="1:15">
      <c r="A79" s="4" t="s">
        <v>249</v>
      </c>
      <c r="B79" s="4">
        <v>27</v>
      </c>
      <c r="C79" s="4">
        <v>18</v>
      </c>
      <c r="D79" s="4">
        <v>12</v>
      </c>
      <c r="E79" s="4">
        <v>5.8353000000000002</v>
      </c>
      <c r="F79" s="4">
        <v>0.66825000000000001</v>
      </c>
      <c r="G79" s="4">
        <v>0.83826000000000001</v>
      </c>
      <c r="H79" s="4">
        <v>4.3848999999999999E-2</v>
      </c>
      <c r="I79" s="4">
        <v>0</v>
      </c>
      <c r="J79" s="4">
        <v>0</v>
      </c>
      <c r="K79" s="4">
        <v>1</v>
      </c>
      <c r="L79" s="4">
        <v>1</v>
      </c>
      <c r="M79" s="4">
        <v>1</v>
      </c>
      <c r="N79" s="4" t="s">
        <v>250</v>
      </c>
      <c r="O79" s="4" t="s">
        <v>251</v>
      </c>
    </row>
    <row r="80" spans="1:15">
      <c r="A80" s="4" t="s">
        <v>252</v>
      </c>
      <c r="B80" s="4">
        <v>12</v>
      </c>
      <c r="C80" s="4">
        <v>7</v>
      </c>
      <c r="D80" s="4">
        <v>5</v>
      </c>
      <c r="E80" s="4">
        <v>5.8353000000000002</v>
      </c>
      <c r="F80" s="4">
        <v>0.66825000000000001</v>
      </c>
      <c r="G80" s="4">
        <v>0.83826000000000001</v>
      </c>
      <c r="H80" s="4">
        <v>4.3848999999999999E-2</v>
      </c>
      <c r="I80" s="4">
        <v>100</v>
      </c>
      <c r="J80" s="4">
        <v>1</v>
      </c>
      <c r="K80" s="4">
        <v>1</v>
      </c>
      <c r="L80" s="4">
        <v>1</v>
      </c>
      <c r="M80" s="4">
        <v>1</v>
      </c>
      <c r="N80" s="4" t="s">
        <v>253</v>
      </c>
      <c r="O80" s="4" t="s">
        <v>254</v>
      </c>
    </row>
    <row r="81" spans="1:15">
      <c r="A81" s="4" t="s">
        <v>255</v>
      </c>
      <c r="B81" s="4">
        <v>16</v>
      </c>
      <c r="C81" s="4">
        <v>12</v>
      </c>
      <c r="D81" s="4">
        <v>7</v>
      </c>
      <c r="E81" s="4">
        <v>4.7412000000000001</v>
      </c>
      <c r="F81" s="4">
        <v>0.68408999999999998</v>
      </c>
      <c r="G81" s="4">
        <v>0.86460999999999999</v>
      </c>
      <c r="H81" s="4">
        <v>4.691E-2</v>
      </c>
      <c r="I81" s="4">
        <v>0</v>
      </c>
      <c r="J81" s="4">
        <v>0</v>
      </c>
      <c r="K81" s="4">
        <v>1</v>
      </c>
      <c r="L81" s="4">
        <v>1</v>
      </c>
      <c r="M81" s="4">
        <v>1</v>
      </c>
      <c r="N81" s="4" t="s">
        <v>256</v>
      </c>
      <c r="O81" s="4" t="s">
        <v>257</v>
      </c>
    </row>
    <row r="82" spans="1:15">
      <c r="A82" s="4" t="s">
        <v>258</v>
      </c>
      <c r="B82" s="4">
        <v>16</v>
      </c>
      <c r="C82" s="4">
        <v>6</v>
      </c>
      <c r="D82" s="4">
        <v>4</v>
      </c>
      <c r="E82" s="4">
        <v>4.7412000000000001</v>
      </c>
      <c r="F82" s="4">
        <v>0.68408999999999998</v>
      </c>
      <c r="G82" s="4">
        <v>0.86460999999999999</v>
      </c>
      <c r="H82" s="4">
        <v>4.691E-2</v>
      </c>
      <c r="I82" s="4">
        <v>0</v>
      </c>
      <c r="J82" s="4">
        <v>0</v>
      </c>
      <c r="K82" s="4">
        <v>1</v>
      </c>
      <c r="L82" s="4">
        <v>1</v>
      </c>
      <c r="M82" s="4">
        <v>1</v>
      </c>
      <c r="N82" s="4" t="s">
        <v>259</v>
      </c>
      <c r="O82" s="4" t="s">
        <v>260</v>
      </c>
    </row>
    <row r="83" spans="1:15">
      <c r="A83" s="4" t="s">
        <v>261</v>
      </c>
      <c r="B83" s="4">
        <v>33</v>
      </c>
      <c r="C83" s="4">
        <v>17</v>
      </c>
      <c r="D83" s="4">
        <v>10</v>
      </c>
      <c r="E83" s="4">
        <v>8.3881999999999994</v>
      </c>
      <c r="F83" s="4">
        <v>0.69886000000000004</v>
      </c>
      <c r="G83" s="4">
        <v>0.83592</v>
      </c>
      <c r="H83" s="4">
        <v>5.0005000000000001E-2</v>
      </c>
      <c r="I83" s="4">
        <v>0</v>
      </c>
      <c r="J83" s="4">
        <v>0</v>
      </c>
      <c r="K83" s="4">
        <v>1</v>
      </c>
      <c r="L83" s="4">
        <v>1</v>
      </c>
      <c r="M83" s="4">
        <v>1</v>
      </c>
      <c r="N83" s="4" t="s">
        <v>262</v>
      </c>
      <c r="O83" s="4" t="s">
        <v>263</v>
      </c>
    </row>
    <row r="84" spans="1:15">
      <c r="A84" s="4" t="s">
        <v>264</v>
      </c>
      <c r="B84" s="4">
        <v>160</v>
      </c>
      <c r="C84" s="4">
        <v>94</v>
      </c>
      <c r="D84" s="4">
        <v>52</v>
      </c>
      <c r="E84" s="4">
        <v>66.012</v>
      </c>
      <c r="F84" s="4">
        <v>0.70289000000000001</v>
      </c>
      <c r="G84" s="4">
        <v>0.75233000000000005</v>
      </c>
      <c r="H84" s="4">
        <v>5.0893000000000001E-2</v>
      </c>
      <c r="I84" s="4">
        <v>100</v>
      </c>
      <c r="J84" s="4">
        <v>1</v>
      </c>
      <c r="K84" s="4">
        <v>1</v>
      </c>
      <c r="L84" s="4">
        <v>1</v>
      </c>
      <c r="M84" s="4">
        <v>1</v>
      </c>
      <c r="N84" s="4" t="s">
        <v>265</v>
      </c>
      <c r="O84" s="4" t="s">
        <v>266</v>
      </c>
    </row>
    <row r="85" spans="1:15">
      <c r="A85" s="4" t="s">
        <v>267</v>
      </c>
      <c r="B85" s="4">
        <v>112</v>
      </c>
      <c r="C85" s="4">
        <v>40</v>
      </c>
      <c r="D85" s="4">
        <v>13</v>
      </c>
      <c r="E85" s="4">
        <v>12.035</v>
      </c>
      <c r="F85" s="4">
        <v>0.71567000000000003</v>
      </c>
      <c r="G85" s="4">
        <v>0.82826</v>
      </c>
      <c r="H85" s="4">
        <v>5.3843000000000002E-2</v>
      </c>
      <c r="I85" s="4">
        <v>0</v>
      </c>
      <c r="J85" s="4">
        <v>0</v>
      </c>
      <c r="K85" s="4">
        <v>1</v>
      </c>
      <c r="L85" s="4">
        <v>1</v>
      </c>
      <c r="M85" s="4">
        <v>1</v>
      </c>
      <c r="N85" s="4" t="s">
        <v>268</v>
      </c>
      <c r="O85" s="4" t="s">
        <v>269</v>
      </c>
    </row>
    <row r="86" spans="1:15">
      <c r="A86" s="4" t="s">
        <v>270</v>
      </c>
      <c r="B86" s="4">
        <v>62</v>
      </c>
      <c r="C86" s="4">
        <v>11</v>
      </c>
      <c r="D86" s="4">
        <v>6</v>
      </c>
      <c r="E86" s="4">
        <v>6.2</v>
      </c>
      <c r="F86" s="4">
        <v>0.72589000000000004</v>
      </c>
      <c r="G86" s="4">
        <v>0.87343999999999999</v>
      </c>
      <c r="H86" s="4">
        <v>5.6356999999999997E-2</v>
      </c>
      <c r="I86" s="4">
        <v>0</v>
      </c>
      <c r="J86" s="4">
        <v>0</v>
      </c>
      <c r="K86" s="4">
        <v>1</v>
      </c>
      <c r="L86" s="4">
        <v>1</v>
      </c>
      <c r="M86" s="4">
        <v>1</v>
      </c>
      <c r="N86" s="4" t="s">
        <v>271</v>
      </c>
      <c r="O86" s="4" t="s">
        <v>272</v>
      </c>
    </row>
    <row r="87" spans="1:15">
      <c r="A87" s="4" t="s">
        <v>273</v>
      </c>
      <c r="B87" s="4">
        <v>54</v>
      </c>
      <c r="C87" s="4">
        <v>11</v>
      </c>
      <c r="D87" s="4">
        <v>4</v>
      </c>
      <c r="E87" s="4">
        <v>6.2</v>
      </c>
      <c r="F87" s="4">
        <v>0.72589000000000004</v>
      </c>
      <c r="G87" s="4">
        <v>0.87343999999999999</v>
      </c>
      <c r="H87" s="4">
        <v>5.6356999999999997E-2</v>
      </c>
      <c r="I87" s="4">
        <v>0</v>
      </c>
      <c r="J87" s="4">
        <v>0</v>
      </c>
      <c r="K87" s="4">
        <v>1</v>
      </c>
      <c r="L87" s="4">
        <v>1</v>
      </c>
      <c r="M87" s="4">
        <v>1</v>
      </c>
      <c r="N87" s="4" t="s">
        <v>274</v>
      </c>
      <c r="O87" s="4" t="s">
        <v>275</v>
      </c>
    </row>
    <row r="88" spans="1:15">
      <c r="A88" s="4" t="s">
        <v>276</v>
      </c>
      <c r="B88" s="4">
        <v>16</v>
      </c>
      <c r="C88" s="4">
        <v>4</v>
      </c>
      <c r="D88" s="4">
        <v>2</v>
      </c>
      <c r="E88" s="4">
        <v>2.5529000000000002</v>
      </c>
      <c r="F88" s="4">
        <v>0.74097000000000002</v>
      </c>
      <c r="G88" s="4">
        <v>0.94271000000000005</v>
      </c>
      <c r="H88" s="4">
        <v>6.0349E-2</v>
      </c>
      <c r="I88" s="4">
        <v>0</v>
      </c>
      <c r="J88" s="4">
        <v>0</v>
      </c>
      <c r="K88" s="4">
        <v>1</v>
      </c>
      <c r="L88" s="4">
        <v>1</v>
      </c>
      <c r="M88" s="4">
        <v>1</v>
      </c>
      <c r="N88" s="4" t="s">
        <v>277</v>
      </c>
      <c r="O88" s="4" t="s">
        <v>278</v>
      </c>
    </row>
    <row r="89" spans="1:15">
      <c r="A89" s="4" t="s">
        <v>279</v>
      </c>
      <c r="B89" s="4">
        <v>10</v>
      </c>
      <c r="C89" s="4">
        <v>4</v>
      </c>
      <c r="D89" s="4">
        <v>2</v>
      </c>
      <c r="E89" s="4">
        <v>5.1059000000000001</v>
      </c>
      <c r="F89" s="4">
        <v>0.74516000000000004</v>
      </c>
      <c r="G89" s="4">
        <v>0.89764999999999995</v>
      </c>
      <c r="H89" s="4">
        <v>6.1522E-2</v>
      </c>
      <c r="I89" s="4">
        <v>100</v>
      </c>
      <c r="J89" s="4">
        <v>1</v>
      </c>
      <c r="K89" s="4">
        <v>1</v>
      </c>
      <c r="L89" s="4">
        <v>1</v>
      </c>
      <c r="M89" s="4">
        <v>1</v>
      </c>
      <c r="N89" s="4" t="s">
        <v>280</v>
      </c>
      <c r="O89" s="4" t="s">
        <v>281</v>
      </c>
    </row>
    <row r="90" spans="1:15">
      <c r="A90" s="4" t="s">
        <v>282</v>
      </c>
      <c r="B90" s="4">
        <v>92</v>
      </c>
      <c r="C90" s="4">
        <v>25</v>
      </c>
      <c r="D90" s="4">
        <v>11</v>
      </c>
      <c r="E90" s="4">
        <v>15.318</v>
      </c>
      <c r="F90" s="4">
        <v>0.80293000000000003</v>
      </c>
      <c r="G90" s="4">
        <v>0.88266999999999995</v>
      </c>
      <c r="H90" s="4">
        <v>8.1227999999999995E-2</v>
      </c>
      <c r="I90" s="4">
        <v>0</v>
      </c>
      <c r="J90" s="4">
        <v>0</v>
      </c>
      <c r="K90" s="4">
        <v>1</v>
      </c>
      <c r="L90" s="4">
        <v>1</v>
      </c>
      <c r="M90" s="4">
        <v>1</v>
      </c>
      <c r="N90" s="4" t="s">
        <v>283</v>
      </c>
      <c r="O90" s="4" t="s">
        <v>284</v>
      </c>
    </row>
    <row r="91" spans="1:15">
      <c r="A91" s="4" t="s">
        <v>285</v>
      </c>
      <c r="B91" s="4">
        <v>7</v>
      </c>
      <c r="C91" s="4">
        <v>2</v>
      </c>
      <c r="D91" s="4">
        <v>1</v>
      </c>
      <c r="E91" s="4">
        <v>1.4588000000000001</v>
      </c>
      <c r="F91" s="4">
        <v>0.80525999999999998</v>
      </c>
      <c r="G91" s="4">
        <v>1</v>
      </c>
      <c r="H91" s="4">
        <v>8.2189999999999999E-2</v>
      </c>
      <c r="I91" s="4">
        <v>0</v>
      </c>
      <c r="J91" s="4">
        <v>0</v>
      </c>
      <c r="K91" s="4">
        <v>1</v>
      </c>
      <c r="L91" s="4">
        <v>1</v>
      </c>
      <c r="M91" s="4">
        <v>1</v>
      </c>
      <c r="N91" s="4" t="s">
        <v>286</v>
      </c>
      <c r="O91" s="4" t="s">
        <v>287</v>
      </c>
    </row>
    <row r="92" spans="1:15">
      <c r="A92" s="4" t="s">
        <v>288</v>
      </c>
      <c r="B92" s="4">
        <v>27</v>
      </c>
      <c r="C92" s="4">
        <v>5</v>
      </c>
      <c r="D92" s="4">
        <v>1</v>
      </c>
      <c r="E92" s="4">
        <v>1.4588000000000001</v>
      </c>
      <c r="F92" s="4">
        <v>0.80525999999999998</v>
      </c>
      <c r="G92" s="4">
        <v>1</v>
      </c>
      <c r="H92" s="4">
        <v>8.2189999999999999E-2</v>
      </c>
      <c r="I92" s="4">
        <v>0</v>
      </c>
      <c r="J92" s="4">
        <v>0</v>
      </c>
      <c r="K92" s="4">
        <v>1</v>
      </c>
      <c r="L92" s="4">
        <v>1</v>
      </c>
      <c r="M92" s="4">
        <v>1</v>
      </c>
      <c r="N92" s="4" t="s">
        <v>289</v>
      </c>
      <c r="O92" s="4" t="s">
        <v>290</v>
      </c>
    </row>
    <row r="93" spans="1:15">
      <c r="A93" s="4" t="s">
        <v>291</v>
      </c>
      <c r="B93" s="4">
        <v>14</v>
      </c>
      <c r="C93" s="4">
        <v>4</v>
      </c>
      <c r="D93" s="4">
        <v>2</v>
      </c>
      <c r="E93" s="4">
        <v>2.9176000000000002</v>
      </c>
      <c r="F93" s="4">
        <v>0.80894999999999995</v>
      </c>
      <c r="G93" s="4">
        <v>0.96197999999999995</v>
      </c>
      <c r="H93" s="4">
        <v>8.3747000000000002E-2</v>
      </c>
      <c r="I93" s="4">
        <v>0</v>
      </c>
      <c r="J93" s="4">
        <v>0</v>
      </c>
      <c r="K93" s="4">
        <v>1</v>
      </c>
      <c r="L93" s="4">
        <v>1</v>
      </c>
      <c r="M93" s="4">
        <v>1</v>
      </c>
      <c r="N93" s="4" t="s">
        <v>292</v>
      </c>
      <c r="O93" s="4" t="s">
        <v>278</v>
      </c>
    </row>
    <row r="94" spans="1:15">
      <c r="A94" s="4" t="s">
        <v>293</v>
      </c>
      <c r="B94" s="4">
        <v>44</v>
      </c>
      <c r="C94" s="4">
        <v>5</v>
      </c>
      <c r="D94" s="4">
        <v>2</v>
      </c>
      <c r="E94" s="4">
        <v>2.9176000000000002</v>
      </c>
      <c r="F94" s="4">
        <v>0.80894999999999995</v>
      </c>
      <c r="G94" s="4">
        <v>0.96197999999999995</v>
      </c>
      <c r="H94" s="4">
        <v>8.3747000000000002E-2</v>
      </c>
      <c r="I94" s="4">
        <v>0</v>
      </c>
      <c r="J94" s="4">
        <v>0</v>
      </c>
      <c r="K94" s="4">
        <v>1</v>
      </c>
      <c r="L94" s="4">
        <v>1</v>
      </c>
      <c r="M94" s="4">
        <v>1</v>
      </c>
      <c r="N94" s="4" t="s">
        <v>294</v>
      </c>
      <c r="O94" s="4" t="s">
        <v>278</v>
      </c>
    </row>
    <row r="95" spans="1:15">
      <c r="A95" s="4" t="s">
        <v>295</v>
      </c>
      <c r="B95" s="4">
        <v>16</v>
      </c>
      <c r="C95" s="4">
        <v>5</v>
      </c>
      <c r="D95" s="4">
        <v>2</v>
      </c>
      <c r="E95" s="4">
        <v>2.9176000000000002</v>
      </c>
      <c r="F95" s="4">
        <v>0.80894999999999995</v>
      </c>
      <c r="G95" s="4">
        <v>0.96197999999999995</v>
      </c>
      <c r="H95" s="4">
        <v>8.3747000000000002E-2</v>
      </c>
      <c r="I95" s="4">
        <v>0</v>
      </c>
      <c r="J95" s="4">
        <v>0</v>
      </c>
      <c r="K95" s="4">
        <v>1</v>
      </c>
      <c r="L95" s="4">
        <v>1</v>
      </c>
      <c r="M95" s="4">
        <v>1</v>
      </c>
      <c r="N95" s="4" t="s">
        <v>296</v>
      </c>
      <c r="O95" s="4" t="s">
        <v>278</v>
      </c>
    </row>
    <row r="96" spans="1:15">
      <c r="A96" s="4" t="s">
        <v>297</v>
      </c>
      <c r="B96" s="4">
        <v>110</v>
      </c>
      <c r="C96" s="4">
        <v>33</v>
      </c>
      <c r="D96" s="4">
        <v>15</v>
      </c>
      <c r="E96" s="4">
        <v>19.329000000000001</v>
      </c>
      <c r="F96" s="4">
        <v>0.83381000000000005</v>
      </c>
      <c r="G96" s="4">
        <v>0.89746999999999999</v>
      </c>
      <c r="H96" s="4">
        <v>9.5399999999999999E-2</v>
      </c>
      <c r="I96" s="4">
        <v>100</v>
      </c>
      <c r="J96" s="4">
        <v>1</v>
      </c>
      <c r="K96" s="4">
        <v>1</v>
      </c>
      <c r="L96" s="4">
        <v>1</v>
      </c>
      <c r="M96" s="4">
        <v>1</v>
      </c>
      <c r="N96" s="4" t="s">
        <v>298</v>
      </c>
      <c r="O96" s="4" t="s">
        <v>299</v>
      </c>
    </row>
    <row r="97" spans="1:15">
      <c r="A97" s="4" t="s">
        <v>300</v>
      </c>
      <c r="B97" s="4">
        <v>46</v>
      </c>
      <c r="C97" s="4">
        <v>31</v>
      </c>
      <c r="D97" s="4">
        <v>21</v>
      </c>
      <c r="E97" s="4">
        <v>23.341000000000001</v>
      </c>
      <c r="F97" s="4">
        <v>0.85889000000000004</v>
      </c>
      <c r="G97" s="4">
        <v>0.91073000000000004</v>
      </c>
      <c r="H97" s="4">
        <v>0.10967</v>
      </c>
      <c r="I97" s="4">
        <v>100</v>
      </c>
      <c r="J97" s="4">
        <v>1</v>
      </c>
      <c r="K97" s="4">
        <v>1</v>
      </c>
      <c r="L97" s="4">
        <v>1</v>
      </c>
      <c r="M97" s="4">
        <v>1</v>
      </c>
      <c r="N97" s="4" t="s">
        <v>301</v>
      </c>
      <c r="O97" s="4" t="s">
        <v>302</v>
      </c>
    </row>
    <row r="98" spans="1:15">
      <c r="A98" s="4" t="s">
        <v>303</v>
      </c>
      <c r="B98" s="4">
        <v>37</v>
      </c>
      <c r="C98" s="4">
        <v>26</v>
      </c>
      <c r="D98" s="4">
        <v>2</v>
      </c>
      <c r="E98" s="4">
        <v>3.2824</v>
      </c>
      <c r="F98" s="4">
        <v>0.86055000000000004</v>
      </c>
      <c r="G98" s="4">
        <v>0.97477000000000003</v>
      </c>
      <c r="H98" s="4">
        <v>0.11073</v>
      </c>
      <c r="I98" s="4">
        <v>100</v>
      </c>
      <c r="J98" s="4">
        <v>1</v>
      </c>
      <c r="K98" s="4">
        <v>1</v>
      </c>
      <c r="L98" s="4">
        <v>1</v>
      </c>
      <c r="M98" s="4">
        <v>1</v>
      </c>
      <c r="N98" s="4" t="s">
        <v>304</v>
      </c>
      <c r="O98" s="4" t="s">
        <v>305</v>
      </c>
    </row>
    <row r="99" spans="1:15">
      <c r="A99" s="4" t="s">
        <v>306</v>
      </c>
      <c r="B99" s="4">
        <v>8</v>
      </c>
      <c r="C99" s="4">
        <v>3</v>
      </c>
      <c r="D99" s="4">
        <v>1</v>
      </c>
      <c r="E99" s="4">
        <v>1.8234999999999999</v>
      </c>
      <c r="F99" s="4">
        <v>0.87075000000000002</v>
      </c>
      <c r="G99" s="4">
        <v>1</v>
      </c>
      <c r="H99" s="4">
        <v>0.11756</v>
      </c>
      <c r="I99" s="4">
        <v>0</v>
      </c>
      <c r="J99" s="4">
        <v>0</v>
      </c>
      <c r="K99" s="4">
        <v>1</v>
      </c>
      <c r="L99" s="4">
        <v>1</v>
      </c>
      <c r="M99" s="4">
        <v>1</v>
      </c>
      <c r="N99" s="4" t="s">
        <v>307</v>
      </c>
      <c r="O99" s="4" t="s">
        <v>308</v>
      </c>
    </row>
    <row r="100" spans="1:15">
      <c r="A100" s="4" t="s">
        <v>309</v>
      </c>
      <c r="B100" s="4">
        <v>94</v>
      </c>
      <c r="C100" s="4">
        <v>61</v>
      </c>
      <c r="D100" s="4">
        <v>34</v>
      </c>
      <c r="E100" s="4">
        <v>46.317999999999998</v>
      </c>
      <c r="F100" s="4">
        <v>0.88527999999999996</v>
      </c>
      <c r="G100" s="4">
        <v>0.91727999999999998</v>
      </c>
      <c r="H100" s="4">
        <v>0.12848999999999999</v>
      </c>
      <c r="I100" s="4">
        <v>100</v>
      </c>
      <c r="J100" s="4">
        <v>1</v>
      </c>
      <c r="K100" s="4">
        <v>1</v>
      </c>
      <c r="L100" s="4">
        <v>1</v>
      </c>
      <c r="M100" s="4">
        <v>1</v>
      </c>
      <c r="N100" s="4" t="s">
        <v>310</v>
      </c>
      <c r="O100" s="4" t="s">
        <v>311</v>
      </c>
    </row>
    <row r="101" spans="1:15">
      <c r="A101" s="4" t="s">
        <v>312</v>
      </c>
      <c r="B101" s="4">
        <v>53</v>
      </c>
      <c r="C101" s="4">
        <v>22</v>
      </c>
      <c r="D101" s="4">
        <v>12</v>
      </c>
      <c r="E101" s="4">
        <v>14.587999999999999</v>
      </c>
      <c r="F101" s="4">
        <v>0.91091</v>
      </c>
      <c r="G101" s="4">
        <v>0.95562000000000002</v>
      </c>
      <c r="H101" s="4">
        <v>0.15228</v>
      </c>
      <c r="I101" s="4">
        <v>3</v>
      </c>
      <c r="J101" s="4">
        <v>0.03</v>
      </c>
      <c r="K101" s="4">
        <v>1</v>
      </c>
      <c r="L101" s="4">
        <v>1</v>
      </c>
      <c r="M101" s="4">
        <v>1</v>
      </c>
      <c r="N101" s="4" t="s">
        <v>313</v>
      </c>
      <c r="O101" s="4" t="s">
        <v>314</v>
      </c>
    </row>
    <row r="102" spans="1:15">
      <c r="A102" s="4" t="s">
        <v>315</v>
      </c>
      <c r="B102" s="4">
        <v>8</v>
      </c>
      <c r="C102" s="4">
        <v>4</v>
      </c>
      <c r="D102" s="4">
        <v>2</v>
      </c>
      <c r="E102" s="4">
        <v>4.3765000000000001</v>
      </c>
      <c r="F102" s="4">
        <v>0.94825000000000004</v>
      </c>
      <c r="G102" s="4">
        <v>0.99265000000000003</v>
      </c>
      <c r="H102" s="4">
        <v>0.2049</v>
      </c>
      <c r="I102" s="4">
        <v>96</v>
      </c>
      <c r="J102" s="4">
        <v>0.96</v>
      </c>
      <c r="K102" s="4">
        <v>1</v>
      </c>
      <c r="L102" s="4">
        <v>1</v>
      </c>
      <c r="M102" s="4">
        <v>1</v>
      </c>
      <c r="N102" s="4" t="s">
        <v>316</v>
      </c>
      <c r="O102" s="4" t="s">
        <v>317</v>
      </c>
    </row>
    <row r="103" spans="1:15">
      <c r="A103" s="4" t="s">
        <v>318</v>
      </c>
      <c r="B103" s="4">
        <v>10</v>
      </c>
      <c r="C103" s="4">
        <v>6</v>
      </c>
      <c r="D103" s="4">
        <v>3</v>
      </c>
      <c r="E103" s="4">
        <v>3.2824</v>
      </c>
      <c r="F103" s="4">
        <v>0.97499999999999998</v>
      </c>
      <c r="G103" s="4">
        <v>1</v>
      </c>
      <c r="H103" s="4">
        <v>0.27495999999999998</v>
      </c>
      <c r="I103" s="4">
        <v>100</v>
      </c>
      <c r="J103" s="4">
        <v>1</v>
      </c>
      <c r="K103" s="4">
        <v>1</v>
      </c>
      <c r="L103" s="4">
        <v>1</v>
      </c>
      <c r="M103" s="4">
        <v>1</v>
      </c>
      <c r="N103" s="4" t="s">
        <v>319</v>
      </c>
      <c r="O103" s="4" t="s">
        <v>320</v>
      </c>
    </row>
    <row r="104" spans="1:15">
      <c r="A104" s="4" t="s">
        <v>321</v>
      </c>
      <c r="B104" s="4">
        <v>11</v>
      </c>
      <c r="C104" s="4">
        <v>10</v>
      </c>
      <c r="D104" s="4">
        <v>2</v>
      </c>
      <c r="E104" s="4">
        <v>5.1059000000000001</v>
      </c>
      <c r="F104" s="4">
        <v>0.99682000000000004</v>
      </c>
      <c r="G104" s="4">
        <v>1</v>
      </c>
      <c r="H104" s="4">
        <v>0.45050000000000001</v>
      </c>
      <c r="I104" s="4">
        <v>100</v>
      </c>
      <c r="J104" s="4">
        <v>1</v>
      </c>
      <c r="K104" s="4">
        <v>1</v>
      </c>
      <c r="L104" s="4">
        <v>1</v>
      </c>
      <c r="M104" s="4">
        <v>1</v>
      </c>
      <c r="N104" s="4" t="s">
        <v>322</v>
      </c>
      <c r="O104" s="4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EnrichNet</vt:lpstr>
      <vt:lpstr>Mummichog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Preston, Joshua (NIH/NIA/IRP) [V]</dc:creator>
  <cp:lastModifiedBy>Preston, Joshua</cp:lastModifiedBy>
  <dcterms:created xsi:type="dcterms:W3CDTF">2025-08-11T18:21:02Z</dcterms:created>
  <dcterms:modified xsi:type="dcterms:W3CDTF">2025-08-12T10:50:07Z</dcterms:modified>
</cp:coreProperties>
</file>